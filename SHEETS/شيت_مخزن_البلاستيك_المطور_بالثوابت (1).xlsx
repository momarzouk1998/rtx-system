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ACCOUNTANT $$$$$$\M&amp;R\"/>
    </mc:Choice>
  </mc:AlternateContent>
  <xr:revisionPtr revIDLastSave="0" documentId="13_ncr:1_{DE70337E-CA59-4FAC-B2B0-A09DF2744B80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ثوابت الأصناف" sheetId="1" r:id="rId1"/>
    <sheet name="التقرير العام (الرصيد)" sheetId="2" r:id="rId2"/>
    <sheet name="حركة الوارد (الإضافة)" sheetId="3" r:id="rId3"/>
    <sheet name="حركة المنصرف (الصرف)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E17" i="2" s="1"/>
  <c r="E19" i="2" s="1"/>
  <c r="E18" i="2"/>
  <c r="G10" i="1"/>
  <c r="F5" i="3"/>
  <c r="F14" i="3"/>
  <c r="E11" i="3"/>
  <c r="F9" i="4"/>
  <c r="D9" i="3" l="1"/>
  <c r="E6" i="3"/>
  <c r="E7" i="3"/>
  <c r="D12" i="3"/>
  <c r="F5" i="4"/>
  <c r="F11" i="3"/>
  <c r="F38" i="4"/>
  <c r="D38" i="4"/>
  <c r="F37" i="4"/>
  <c r="D37" i="4"/>
  <c r="F36" i="4"/>
  <c r="D36" i="4"/>
  <c r="F35" i="4"/>
  <c r="D35" i="4"/>
  <c r="F34" i="4"/>
  <c r="D34" i="4"/>
  <c r="F33" i="4"/>
  <c r="D33" i="4"/>
  <c r="F32" i="4"/>
  <c r="D32" i="4"/>
  <c r="F31" i="4"/>
  <c r="D31" i="4"/>
  <c r="F30" i="4"/>
  <c r="D30" i="4"/>
  <c r="F29" i="4"/>
  <c r="D29" i="4"/>
  <c r="F28" i="4"/>
  <c r="D28" i="4"/>
  <c r="F27" i="4"/>
  <c r="D27" i="4"/>
  <c r="F26" i="4"/>
  <c r="D26" i="4"/>
  <c r="F25" i="4"/>
  <c r="D25" i="4"/>
  <c r="F24" i="4"/>
  <c r="D24" i="4"/>
  <c r="F23" i="4"/>
  <c r="D23" i="4"/>
  <c r="F22" i="4"/>
  <c r="D22" i="4"/>
  <c r="F21" i="4"/>
  <c r="D21" i="4"/>
  <c r="F20" i="4"/>
  <c r="D20" i="4"/>
  <c r="F19" i="4"/>
  <c r="D19" i="4"/>
  <c r="F18" i="4"/>
  <c r="D18" i="4"/>
  <c r="F17" i="4"/>
  <c r="D17" i="4"/>
  <c r="F16" i="4"/>
  <c r="D16" i="4"/>
  <c r="F15" i="4"/>
  <c r="D15" i="4"/>
  <c r="F14" i="4"/>
  <c r="D14" i="4"/>
  <c r="F13" i="4"/>
  <c r="D13" i="4"/>
  <c r="F12" i="4"/>
  <c r="D12" i="4"/>
  <c r="F11" i="4"/>
  <c r="D11" i="4"/>
  <c r="F10" i="4"/>
  <c r="D10" i="4"/>
  <c r="D9" i="4"/>
  <c r="F8" i="4"/>
  <c r="F7" i="4"/>
  <c r="F6" i="4"/>
  <c r="F37" i="3"/>
  <c r="D37" i="3"/>
  <c r="F36" i="3"/>
  <c r="D36" i="3"/>
  <c r="F35" i="3"/>
  <c r="D35" i="3"/>
  <c r="F34" i="3"/>
  <c r="D34" i="3"/>
  <c r="F33" i="3"/>
  <c r="D33" i="3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D14" i="3"/>
  <c r="F13" i="3"/>
  <c r="D13" i="3"/>
  <c r="F12" i="3"/>
  <c r="G12" i="1"/>
  <c r="F10" i="3"/>
  <c r="D10" i="3"/>
  <c r="F9" i="3"/>
  <c r="G13" i="1"/>
  <c r="F8" i="3"/>
  <c r="D8" i="3"/>
  <c r="G11" i="1"/>
  <c r="F7" i="3"/>
  <c r="D7" i="3"/>
  <c r="F6" i="3"/>
  <c r="D6" i="3"/>
  <c r="D5" i="3"/>
  <c r="G9" i="2"/>
  <c r="H9" i="2" s="1"/>
  <c r="G10" i="2"/>
  <c r="D10" i="2"/>
  <c r="E10" i="2"/>
  <c r="G11" i="2"/>
  <c r="D11" i="2"/>
  <c r="E11" i="2"/>
  <c r="G12" i="2"/>
  <c r="D12" i="2"/>
  <c r="E12" i="2"/>
  <c r="G13" i="2"/>
  <c r="D13" i="2"/>
  <c r="E13" i="2"/>
  <c r="D9" i="2"/>
  <c r="E9" i="2"/>
  <c r="G8" i="2"/>
  <c r="H8" i="2" s="1"/>
  <c r="D8" i="2"/>
  <c r="E8" i="2"/>
  <c r="G7" i="2"/>
  <c r="H7" i="2" s="1"/>
  <c r="D7" i="2"/>
  <c r="E7" i="2"/>
  <c r="G6" i="2"/>
  <c r="H6" i="2" s="1"/>
  <c r="D6" i="2"/>
  <c r="E6" i="2"/>
  <c r="G5" i="2"/>
  <c r="H5" i="2" s="1"/>
  <c r="D5" i="2"/>
  <c r="E5" i="2"/>
  <c r="F8" i="2" l="1"/>
  <c r="F13" i="2"/>
  <c r="H13" i="2" s="1"/>
  <c r="F10" i="2"/>
  <c r="H10" i="2" s="1"/>
  <c r="F12" i="2"/>
  <c r="F6" i="2"/>
  <c r="F5" i="2"/>
  <c r="F7" i="2"/>
  <c r="F9" i="2"/>
  <c r="F11" i="2"/>
  <c r="H11" i="2" s="1"/>
</calcChain>
</file>

<file path=xl/sharedStrings.xml><?xml version="1.0" encoding="utf-8"?>
<sst xmlns="http://schemas.openxmlformats.org/spreadsheetml/2006/main" count="184" uniqueCount="93">
  <si>
    <t>جدول ثوابت الأصناف والأوزان القياسية</t>
  </si>
  <si>
    <t>كود الصنف</t>
  </si>
  <si>
    <t>اسم الصنف الرئيسي</t>
  </si>
  <si>
    <t>النوع / المقاس</t>
  </si>
  <si>
    <t>وزن القطعة (جرام)</t>
  </si>
  <si>
    <t>عدد القطع في الكيس</t>
  </si>
  <si>
    <t>وزن الكيس الصافي (كجم)</t>
  </si>
  <si>
    <t>معامل تحويل الأكياس (كيس/كجم)</t>
  </si>
  <si>
    <t>خامات تصنيع</t>
  </si>
  <si>
    <t>-</t>
  </si>
  <si>
    <t>RAW-03</t>
  </si>
  <si>
    <t>مادة خام 3</t>
  </si>
  <si>
    <t>PKG-01</t>
  </si>
  <si>
    <t>أكياس تعبئة</t>
  </si>
  <si>
    <t>مواد تعبئة</t>
  </si>
  <si>
    <t>LBL-01</t>
  </si>
  <si>
    <t>استيكر</t>
  </si>
  <si>
    <t>فواصل</t>
  </si>
  <si>
    <t>1 مللي</t>
  </si>
  <si>
    <t>1.5 مللي</t>
  </si>
  <si>
    <t>2 مللي</t>
  </si>
  <si>
    <t>المشبك</t>
  </si>
  <si>
    <t>نوع واحد</t>
  </si>
  <si>
    <t>التقرير العام لحركة المخزن والرصيد الحالي</t>
  </si>
  <si>
    <t>م</t>
  </si>
  <si>
    <t>اسم الصنف والنوع</t>
  </si>
  <si>
    <t>إجمالي الوارد (كجم)</t>
  </si>
  <si>
    <t>إجمالي المنصرف (كجم)</t>
  </si>
  <si>
    <t>الرصيد الحالي (كجم)</t>
  </si>
  <si>
    <t>وزن الكيس القياسي</t>
  </si>
  <si>
    <t>الرصيد الحالي (عدد الأكياس)</t>
  </si>
  <si>
    <t>مادة خام 3 - خامات تصنيع</t>
  </si>
  <si>
    <t>أكياس تعبئة - مواد تعبئة</t>
  </si>
  <si>
    <t>استيكر - مواد تعبئة</t>
  </si>
  <si>
    <t>فواصل - 1 مللي</t>
  </si>
  <si>
    <t>فواصل - 1.5 مللي</t>
  </si>
  <si>
    <t>فواصل - 2 مللي</t>
  </si>
  <si>
    <t>المشبك - نوع واحد</t>
  </si>
  <si>
    <t>إجمالي عدد الأكياس بالمخزن (تلقائي)</t>
  </si>
  <si>
    <t>الإجمالي الكلي للأكياس الجاهزة</t>
  </si>
  <si>
    <t>سجل حركة مخزن البلاستيك - حركة الوارد (الإضافة)</t>
  </si>
  <si>
    <t>التاريخ</t>
  </si>
  <si>
    <t>رقم الإذن</t>
  </si>
  <si>
    <t>اسم الصنف والنوع (تلقائي)</t>
  </si>
  <si>
    <t>الوزن الفعلي (كجم)</t>
  </si>
  <si>
    <t>عدد الأكياس (تلقائي)</t>
  </si>
  <si>
    <t>ملاحظات</t>
  </si>
  <si>
    <t>2026-06-20</t>
  </si>
  <si>
    <t>رصيد افتتاحي فعلي</t>
  </si>
  <si>
    <t>2026-06-21</t>
  </si>
  <si>
    <t>2026-06-22</t>
  </si>
  <si>
    <t>2026-06-23</t>
  </si>
  <si>
    <t>2026-06-24</t>
  </si>
  <si>
    <t>سجل حركة مخزن البلاستيك - حركة المنصرف (الصرف)</t>
  </si>
  <si>
    <t>تشغيل خارجي</t>
  </si>
  <si>
    <t>2026-06-25</t>
  </si>
  <si>
    <t>إجمالي أكياس المشابك</t>
  </si>
  <si>
    <t xml:space="preserve">إجمالي أكياس الفواصل </t>
  </si>
  <si>
    <t>80-60</t>
  </si>
  <si>
    <t xml:space="preserve">بيور </t>
  </si>
  <si>
    <t>بيور</t>
  </si>
  <si>
    <t>100-100</t>
  </si>
  <si>
    <t>RTX01</t>
  </si>
  <si>
    <t>RTX02</t>
  </si>
  <si>
    <t>RTX03</t>
  </si>
  <si>
    <t>RTX04</t>
  </si>
  <si>
    <t>اجمالي المصروفات حتي 2026/6/28</t>
  </si>
  <si>
    <t>اجمالي المصروفات حتي 2026/6/29</t>
  </si>
  <si>
    <t>اجمالي المصروفات حتي 2026/6/30</t>
  </si>
  <si>
    <t>اجمالي المصروفات حتي 2026/6/31</t>
  </si>
  <si>
    <t>RTX001</t>
  </si>
  <si>
    <t>RTX002</t>
  </si>
  <si>
    <t>RTX003</t>
  </si>
  <si>
    <t>RTX004</t>
  </si>
  <si>
    <t>RTX005</t>
  </si>
  <si>
    <t>RTX006</t>
  </si>
  <si>
    <t>RTX007</t>
  </si>
  <si>
    <t>RTX008</t>
  </si>
  <si>
    <t xml:space="preserve">ريسايكل مخرز </t>
  </si>
  <si>
    <t>ريسايكل مخرز</t>
  </si>
  <si>
    <t>RTX009</t>
  </si>
  <si>
    <t>RTX010</t>
  </si>
  <si>
    <t>فاتورة علي الشرقيه</t>
  </si>
  <si>
    <t xml:space="preserve">وارد من شركة الحسن </t>
  </si>
  <si>
    <t xml:space="preserve">وارد من وليد ريسيكل </t>
  </si>
  <si>
    <t>RTX011</t>
  </si>
  <si>
    <t>RTX012</t>
  </si>
  <si>
    <t>RTX013</t>
  </si>
  <si>
    <t xml:space="preserve">فاتورة احمد جودة </t>
  </si>
  <si>
    <t xml:space="preserve">فاتورة محمود سمير </t>
  </si>
  <si>
    <t xml:space="preserve">فاتورة يوسف دمنهور </t>
  </si>
  <si>
    <t xml:space="preserve">فاتورة البنهاوي </t>
  </si>
  <si>
    <t>فاتورة بورسعيد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</si>
</sst>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9" x14ac:knownFonts="1">
    <font>
      <sz val="11"/>
      <color theme="1"/>
      <name val="Calibri"/>
      <family val="2"/>
      <scheme val="minor"/>
    </font>
    <font>
      <b/>
      <sz val="16"/>
      <color rgb="FF1B365D"/>
      <name val="Arial"/>
      <family val="2"/>
    </font>
    <font>
      <b/>
      <sz val="20"/>
      <color theme="0"/>
      <name val="Arial"/>
      <family val="2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name val="Arial"/>
      <family val="2"/>
    </font>
    <font>
      <sz val="16"/>
      <name val="Arial"/>
      <family val="2"/>
    </font>
    <font>
      <b/>
      <sz val="16"/>
      <color theme="0"/>
      <name val="Arial"/>
      <family val="2"/>
    </font>
    <font>
      <b/>
      <sz val="14"/>
      <name val="Arial"/>
      <family val="2"/>
    </font>
    <font>
      <b/>
      <sz val="16"/>
      <color rgb="FFC00000"/>
      <name val="Arial"/>
      <family val="2"/>
    </font>
    <font>
      <b/>
      <sz val="15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i/>
      <sz val="18"/>
      <color theme="0"/>
      <name val="Arial"/>
      <family val="2"/>
    </font>
    <font>
      <b/>
      <sz val="16"/>
      <name val="Arial"/>
      <family val="2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9F9"/>
        <bgColor rgb="FFF9F9F9"/>
      </patternFill>
    </fill>
    <fill>
      <patternFill patternType="solid">
        <fgColor rgb="FFE6EDF5"/>
        <bgColor rgb="FFE6EDF5"/>
      </patternFill>
    </fill>
    <fill>
      <patternFill patternType="solid">
        <fgColor rgb="FFC62828"/>
        <bgColor rgb="FFC62828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rgb="FF2E7D32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rgb="FFE6EDF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D3D3D3"/>
      </bottom>
      <diagonal/>
    </border>
    <border>
      <left/>
      <right/>
      <top style="medium">
        <color indexed="64"/>
      </top>
      <bottom style="thin">
        <color rgb="FFD3D3D3"/>
      </bottom>
      <diagonal/>
    </border>
    <border>
      <left style="medium">
        <color indexed="64"/>
      </left>
      <right/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thin">
        <color rgb="FFD3D3D3"/>
      </top>
      <bottom style="medium">
        <color indexed="64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/>
    <xf numFmtId="0" fontId="5" fillId="7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8" xfId="0" applyFont="1" applyBorder="1"/>
    <xf numFmtId="0" fontId="0" fillId="0" borderId="1" xfId="0" applyBorder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3" fontId="12" fillId="0" borderId="13" xfId="0" applyNumberFormat="1" applyFont="1" applyBorder="1" applyAlignment="1">
      <alignment horizontal="center"/>
    </xf>
    <xf numFmtId="0" fontId="12" fillId="3" borderId="1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" fontId="12" fillId="3" borderId="1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3" fontId="12" fillId="3" borderId="13" xfId="0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4" fontId="12" fillId="0" borderId="15" xfId="0" applyNumberFormat="1" applyFont="1" applyBorder="1" applyAlignment="1">
      <alignment horizontal="center"/>
    </xf>
    <xf numFmtId="2" fontId="12" fillId="0" borderId="15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3" fontId="13" fillId="9" borderId="1" xfId="0" applyNumberFormat="1" applyFont="1" applyFill="1" applyBorder="1" applyAlignment="1">
      <alignment horizontal="center" vertical="center"/>
    </xf>
    <xf numFmtId="3" fontId="13" fillId="10" borderId="1" xfId="0" applyNumberFormat="1" applyFont="1" applyFill="1" applyBorder="1" applyAlignment="1">
      <alignment horizontal="center" vertical="center"/>
    </xf>
    <xf numFmtId="3" fontId="13" fillId="11" borderId="1" xfId="0" applyNumberFormat="1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/>
    </xf>
    <xf numFmtId="3" fontId="12" fillId="3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6" fillId="0" borderId="0" xfId="0" applyFont="1"/>
    <xf numFmtId="0" fontId="18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rightToLeft="1" workbookViewId="0">
      <selection activeCell="F11" sqref="F11"/>
    </sheetView>
  </sheetViews>
  <sheetFormatPr defaultRowHeight="14.4" x14ac:dyDescent="0.3"/>
  <cols>
    <col min="1" max="1" width="15" customWidth="1"/>
    <col min="2" max="2" width="40" customWidth="1"/>
    <col min="3" max="3" width="18" customWidth="1"/>
    <col min="4" max="4" width="21" customWidth="1"/>
    <col min="5" max="5" width="21.88671875" customWidth="1"/>
    <col min="6" max="6" width="26" customWidth="1"/>
    <col min="7" max="7" width="33" customWidth="1"/>
  </cols>
  <sheetData>
    <row r="1" spans="1:7" x14ac:dyDescent="0.3">
      <c r="A1" s="45" t="s">
        <v>0</v>
      </c>
      <c r="B1" s="45"/>
      <c r="C1" s="45"/>
      <c r="D1" s="45"/>
      <c r="E1" s="45"/>
      <c r="F1" s="45"/>
      <c r="G1" s="45"/>
    </row>
    <row r="2" spans="1:7" ht="24.6" customHeight="1" x14ac:dyDescent="0.3">
      <c r="A2" s="45"/>
      <c r="B2" s="45"/>
      <c r="C2" s="45"/>
      <c r="D2" s="45"/>
      <c r="E2" s="45"/>
      <c r="F2" s="45"/>
      <c r="G2" s="45"/>
    </row>
    <row r="4" spans="1:7" ht="39" customHeight="1" x14ac:dyDescent="0.3">
      <c r="A4" s="33" t="s">
        <v>1</v>
      </c>
      <c r="B4" s="33" t="s">
        <v>2</v>
      </c>
      <c r="C4" s="33" t="s">
        <v>3</v>
      </c>
      <c r="D4" s="33" t="s">
        <v>4</v>
      </c>
      <c r="E4" s="33" t="s">
        <v>5</v>
      </c>
      <c r="F4" s="33" t="s">
        <v>6</v>
      </c>
      <c r="G4" s="33" t="s">
        <v>7</v>
      </c>
    </row>
    <row r="5" spans="1:7" ht="32.4" customHeight="1" x14ac:dyDescent="0.3">
      <c r="A5" s="12" t="s">
        <v>58</v>
      </c>
      <c r="B5" s="12" t="s">
        <v>60</v>
      </c>
      <c r="C5" s="12" t="s">
        <v>8</v>
      </c>
      <c r="D5" s="32">
        <v>0</v>
      </c>
      <c r="E5" s="32">
        <v>0</v>
      </c>
      <c r="F5" s="12" t="s">
        <v>9</v>
      </c>
      <c r="G5" s="14">
        <v>0</v>
      </c>
    </row>
    <row r="6" spans="1:7" ht="32.4" customHeight="1" x14ac:dyDescent="0.3">
      <c r="A6" s="17" t="s">
        <v>61</v>
      </c>
      <c r="B6" s="17" t="s">
        <v>78</v>
      </c>
      <c r="C6" s="17" t="s">
        <v>8</v>
      </c>
      <c r="D6" s="36">
        <v>0</v>
      </c>
      <c r="E6" s="36">
        <v>0</v>
      </c>
      <c r="F6" s="17" t="s">
        <v>9</v>
      </c>
      <c r="G6" s="19">
        <v>0</v>
      </c>
    </row>
    <row r="7" spans="1:7" ht="32.4" customHeight="1" x14ac:dyDescent="0.3">
      <c r="A7" s="12" t="s">
        <v>10</v>
      </c>
      <c r="B7" s="12" t="s">
        <v>11</v>
      </c>
      <c r="C7" s="12" t="s">
        <v>8</v>
      </c>
      <c r="D7" s="32">
        <v>0</v>
      </c>
      <c r="E7" s="32">
        <v>0</v>
      </c>
      <c r="F7" s="12" t="s">
        <v>9</v>
      </c>
      <c r="G7" s="14">
        <v>0</v>
      </c>
    </row>
    <row r="8" spans="1:7" ht="32.4" customHeight="1" x14ac:dyDescent="0.3">
      <c r="A8" s="17" t="s">
        <v>12</v>
      </c>
      <c r="B8" s="17" t="s">
        <v>13</v>
      </c>
      <c r="C8" s="17" t="s">
        <v>14</v>
      </c>
      <c r="D8" s="36">
        <v>0</v>
      </c>
      <c r="E8" s="36">
        <v>0</v>
      </c>
      <c r="F8" s="17" t="s">
        <v>9</v>
      </c>
      <c r="G8" s="19">
        <v>0</v>
      </c>
    </row>
    <row r="9" spans="1:7" ht="32.4" customHeight="1" x14ac:dyDescent="0.3">
      <c r="A9" s="12" t="s">
        <v>15</v>
      </c>
      <c r="B9" s="12" t="s">
        <v>16</v>
      </c>
      <c r="C9" s="12" t="s">
        <v>14</v>
      </c>
      <c r="D9" s="32">
        <v>0</v>
      </c>
      <c r="E9" s="32">
        <v>0</v>
      </c>
      <c r="F9" s="12" t="s">
        <v>9</v>
      </c>
      <c r="G9" s="14">
        <v>0</v>
      </c>
    </row>
    <row r="10" spans="1:7" ht="32.4" customHeight="1" x14ac:dyDescent="0.3">
      <c r="A10" s="17" t="s">
        <v>62</v>
      </c>
      <c r="B10" s="17" t="s">
        <v>17</v>
      </c>
      <c r="C10" s="17" t="s">
        <v>18</v>
      </c>
      <c r="D10" s="36">
        <v>3</v>
      </c>
      <c r="E10" s="36">
        <v>100</v>
      </c>
      <c r="F10" s="37">
        <v>0.3</v>
      </c>
      <c r="G10" s="38">
        <f>IF(F10&gt;0, 1/F10, 0)</f>
        <v>3.3333333333333335</v>
      </c>
    </row>
    <row r="11" spans="1:7" ht="32.4" customHeight="1" x14ac:dyDescent="0.3">
      <c r="A11" s="17" t="s">
        <v>63</v>
      </c>
      <c r="B11" s="12" t="s">
        <v>17</v>
      </c>
      <c r="C11" s="12" t="s">
        <v>19</v>
      </c>
      <c r="D11" s="32">
        <v>3</v>
      </c>
      <c r="E11" s="32">
        <v>100</v>
      </c>
      <c r="F11" s="39">
        <v>0.3</v>
      </c>
      <c r="G11" s="40">
        <f>IF(F11&gt;0, 1/F11, 0)</f>
        <v>3.3333333333333335</v>
      </c>
    </row>
    <row r="12" spans="1:7" ht="32.4" customHeight="1" x14ac:dyDescent="0.3">
      <c r="A12" s="17" t="s">
        <v>64</v>
      </c>
      <c r="B12" s="17" t="s">
        <v>17</v>
      </c>
      <c r="C12" s="17" t="s">
        <v>20</v>
      </c>
      <c r="D12" s="36">
        <v>3</v>
      </c>
      <c r="E12" s="36">
        <v>100</v>
      </c>
      <c r="F12" s="37">
        <v>0.3</v>
      </c>
      <c r="G12" s="38">
        <f>IF(F12&gt;0, 1/F12, 0)</f>
        <v>3.3333333333333335</v>
      </c>
    </row>
    <row r="13" spans="1:7" ht="32.4" customHeight="1" x14ac:dyDescent="0.3">
      <c r="A13" s="17" t="s">
        <v>65</v>
      </c>
      <c r="B13" s="12" t="s">
        <v>21</v>
      </c>
      <c r="C13" s="12" t="s">
        <v>22</v>
      </c>
      <c r="D13" s="32">
        <v>7</v>
      </c>
      <c r="E13" s="32">
        <v>100</v>
      </c>
      <c r="F13" s="39">
        <v>0.7</v>
      </c>
      <c r="G13" s="40">
        <f>IF(F13&gt;0, 1/F13, 0)</f>
        <v>1.4285714285714286</v>
      </c>
    </row>
    <row r="14" spans="1:7" ht="32.4" customHeight="1" thickBot="1" x14ac:dyDescent="0.4">
      <c r="A14" s="41"/>
      <c r="B14" s="42"/>
      <c r="C14" s="42"/>
      <c r="D14" s="42"/>
      <c r="E14" s="42"/>
      <c r="F14" s="42"/>
      <c r="G14" s="43"/>
    </row>
  </sheetData>
  <mergeCells count="1">
    <mergeCell ref="A1:G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rightToLeft="1" workbookViewId="0">
      <selection sqref="A1:H20"/>
    </sheetView>
  </sheetViews>
  <sheetFormatPr defaultRowHeight="14.4" x14ac:dyDescent="0.3"/>
  <cols>
    <col min="1" max="1" width="10.33203125" customWidth="1"/>
    <col min="2" max="2" width="19.33203125" customWidth="1"/>
    <col min="3" max="3" width="33.6640625" customWidth="1"/>
    <col min="4" max="4" width="27.88671875" customWidth="1"/>
    <col min="5" max="5" width="21.88671875" customWidth="1"/>
    <col min="6" max="6" width="23" customWidth="1"/>
    <col min="7" max="7" width="19.44140625" customWidth="1"/>
    <col min="8" max="8" width="25.109375" customWidth="1"/>
  </cols>
  <sheetData>
    <row r="1" spans="1:8" x14ac:dyDescent="0.3">
      <c r="A1" s="48" t="s">
        <v>23</v>
      </c>
      <c r="B1" s="48"/>
      <c r="C1" s="48"/>
      <c r="D1" s="48"/>
      <c r="E1" s="48"/>
      <c r="F1" s="48"/>
      <c r="G1" s="48"/>
      <c r="H1" s="48"/>
    </row>
    <row r="2" spans="1:8" ht="25.8" customHeight="1" x14ac:dyDescent="0.3">
      <c r="A2" s="48"/>
      <c r="B2" s="48"/>
      <c r="C2" s="48"/>
      <c r="D2" s="48"/>
      <c r="E2" s="48"/>
      <c r="F2" s="48"/>
      <c r="G2" s="48"/>
      <c r="H2" s="48"/>
    </row>
    <row r="3" spans="1:8" ht="1.8" customHeight="1" thickBot="1" x14ac:dyDescent="0.35"/>
    <row r="4" spans="1:8" s="1" customFormat="1" ht="43.2" customHeight="1" x14ac:dyDescent="0.35">
      <c r="A4" s="8" t="s">
        <v>24</v>
      </c>
      <c r="B4" s="9" t="s">
        <v>1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10" t="s">
        <v>30</v>
      </c>
    </row>
    <row r="5" spans="1:8" ht="22.2" customHeight="1" x14ac:dyDescent="0.3">
      <c r="A5" s="11">
        <v>1</v>
      </c>
      <c r="B5" s="12" t="s">
        <v>58</v>
      </c>
      <c r="C5" s="12" t="s">
        <v>59</v>
      </c>
      <c r="D5" s="13">
        <f>SUMIF('حركة الوارد (الإضافة)'!C:C, B5, 'حركة الوارد (الإضافة)'!E:E)</f>
        <v>2000</v>
      </c>
      <c r="E5" s="13">
        <f>SUMIF('حركة المنصرف (الصرف)'!C:C, B5, 'حركة المنصرف (الصرف)'!E:E)</f>
        <v>250</v>
      </c>
      <c r="F5" s="13">
        <f t="shared" ref="F5:F13" si="0">D5-E5</f>
        <v>1750</v>
      </c>
      <c r="G5" s="14" t="str">
        <f>VLOOKUP(B5, 'ثوابت الأصناف'!A:G, 6, FALSE)</f>
        <v>-</v>
      </c>
      <c r="H5" s="15" t="str">
        <f t="shared" ref="H5:H13" si="1">IF(ISNUMBER(G5), IF(G5&gt;0, F5/G5, "-"), "-")</f>
        <v>-</v>
      </c>
    </row>
    <row r="6" spans="1:8" ht="22.2" customHeight="1" x14ac:dyDescent="0.3">
      <c r="A6" s="16">
        <v>2</v>
      </c>
      <c r="B6" s="17" t="s">
        <v>61</v>
      </c>
      <c r="C6" s="17" t="s">
        <v>79</v>
      </c>
      <c r="D6" s="18">
        <f>SUMIF('حركة الوارد (الإضافة)'!C:C, B6, 'حركة الوارد (الإضافة)'!E:E)</f>
        <v>8257</v>
      </c>
      <c r="E6" s="18">
        <f>SUMIF('حركة المنصرف (الصرف)'!C:C, B6, 'حركة المنصرف (الصرف)'!E:E)</f>
        <v>7504</v>
      </c>
      <c r="F6" s="18">
        <f t="shared" si="0"/>
        <v>753</v>
      </c>
      <c r="G6" s="19" t="str">
        <f>VLOOKUP(B6, 'ثوابت الأصناف'!A:G, 6, FALSE)</f>
        <v>-</v>
      </c>
      <c r="H6" s="20" t="str">
        <f t="shared" si="1"/>
        <v>-</v>
      </c>
    </row>
    <row r="7" spans="1:8" ht="22.2" customHeight="1" x14ac:dyDescent="0.3">
      <c r="A7" s="11">
        <v>3</v>
      </c>
      <c r="B7" s="12" t="s">
        <v>10</v>
      </c>
      <c r="C7" s="12" t="s">
        <v>31</v>
      </c>
      <c r="D7" s="13">
        <f>SUMIF('حركة الوارد (الإضافة)'!C:C, B7, 'حركة الوارد (الإضافة)'!E:E)</f>
        <v>0</v>
      </c>
      <c r="E7" s="13">
        <f>SUMIF('حركة المنصرف (الصرف)'!C:C, B7, 'حركة المنصرف (الصرف)'!E:E)</f>
        <v>0</v>
      </c>
      <c r="F7" s="13">
        <f t="shared" si="0"/>
        <v>0</v>
      </c>
      <c r="G7" s="14" t="str">
        <f>VLOOKUP(B7, 'ثوابت الأصناف'!A:G, 6, FALSE)</f>
        <v>-</v>
      </c>
      <c r="H7" s="15" t="str">
        <f t="shared" si="1"/>
        <v>-</v>
      </c>
    </row>
    <row r="8" spans="1:8" ht="22.2" customHeight="1" x14ac:dyDescent="0.3">
      <c r="A8" s="16">
        <v>4</v>
      </c>
      <c r="B8" s="17" t="s">
        <v>12</v>
      </c>
      <c r="C8" s="17" t="s">
        <v>32</v>
      </c>
      <c r="D8" s="18">
        <f>SUMIF('حركة الوارد (الإضافة)'!C:C, B8, 'حركة الوارد (الإضافة)'!E:E)</f>
        <v>0</v>
      </c>
      <c r="E8" s="18">
        <f>SUMIF('حركة المنصرف (الصرف)'!C:C, B8, 'حركة المنصرف (الصرف)'!E:E)</f>
        <v>0</v>
      </c>
      <c r="F8" s="18">
        <f t="shared" si="0"/>
        <v>0</v>
      </c>
      <c r="G8" s="19" t="str">
        <f>VLOOKUP(B8, 'ثوابت الأصناف'!A:G, 6, FALSE)</f>
        <v>-</v>
      </c>
      <c r="H8" s="20" t="str">
        <f t="shared" si="1"/>
        <v>-</v>
      </c>
    </row>
    <row r="9" spans="1:8" ht="22.2" customHeight="1" x14ac:dyDescent="0.3">
      <c r="A9" s="11">
        <v>5</v>
      </c>
      <c r="B9" s="12" t="s">
        <v>15</v>
      </c>
      <c r="C9" s="12" t="s">
        <v>33</v>
      </c>
      <c r="D9" s="13">
        <f>SUMIF('حركة الوارد (الإضافة)'!C:C, B9, 'حركة الوارد (الإضافة)'!E:E)</f>
        <v>0</v>
      </c>
      <c r="E9" s="13">
        <f>SUMIF('حركة المنصرف (الصرف)'!C:C, B9, 'حركة المنصرف (الصرف)'!E:E)</f>
        <v>0</v>
      </c>
      <c r="F9" s="13">
        <f t="shared" si="0"/>
        <v>0</v>
      </c>
      <c r="G9" s="14" t="str">
        <f>VLOOKUP(B9, 'ثوابت الأصناف'!A:G, 6, FALSE)</f>
        <v>-</v>
      </c>
      <c r="H9" s="15" t="str">
        <f t="shared" si="1"/>
        <v>-</v>
      </c>
    </row>
    <row r="10" spans="1:8" ht="22.2" customHeight="1" x14ac:dyDescent="0.3">
      <c r="A10" s="16">
        <v>6</v>
      </c>
      <c r="B10" s="17" t="s">
        <v>62</v>
      </c>
      <c r="C10" s="17" t="s">
        <v>34</v>
      </c>
      <c r="D10" s="18">
        <f>SUMIF('حركة الوارد (الإضافة)'!C:C, B10, 'حركة الوارد (الإضافة)'!E:E)</f>
        <v>495</v>
      </c>
      <c r="E10" s="18">
        <f>SUMIF('حركة المنصرف (الصرف)'!C:C, B10, 'حركة المنصرف (الصرف)'!E:E)</f>
        <v>285</v>
      </c>
      <c r="F10" s="18">
        <f t="shared" si="0"/>
        <v>210</v>
      </c>
      <c r="G10" s="19">
        <f>VLOOKUP(B10, 'ثوابت الأصناف'!A:G, 6, FALSE)</f>
        <v>0.3</v>
      </c>
      <c r="H10" s="20">
        <f t="shared" si="1"/>
        <v>700</v>
      </c>
    </row>
    <row r="11" spans="1:8" ht="22.2" customHeight="1" x14ac:dyDescent="0.3">
      <c r="A11" s="11">
        <v>7</v>
      </c>
      <c r="B11" s="17" t="s">
        <v>63</v>
      </c>
      <c r="C11" s="12" t="s">
        <v>35</v>
      </c>
      <c r="D11" s="13">
        <f>SUMIF('حركة الوارد (الإضافة)'!C:C, B11, 'حركة الوارد (الإضافة)'!E:E)</f>
        <v>2748</v>
      </c>
      <c r="E11" s="13">
        <f>SUMIF('حركة المنصرف (الصرف)'!C:C, B11, 'حركة المنصرف (الصرف)'!E:E)</f>
        <v>1560</v>
      </c>
      <c r="F11" s="13">
        <f t="shared" si="0"/>
        <v>1188</v>
      </c>
      <c r="G11" s="14">
        <f>VLOOKUP(B11, 'ثوابت الأصناف'!A:G, 6, FALSE)</f>
        <v>0.3</v>
      </c>
      <c r="H11" s="15">
        <f t="shared" si="1"/>
        <v>3960</v>
      </c>
    </row>
    <row r="12" spans="1:8" ht="22.2" customHeight="1" x14ac:dyDescent="0.3">
      <c r="A12" s="16">
        <v>8</v>
      </c>
      <c r="B12" s="17" t="s">
        <v>64</v>
      </c>
      <c r="C12" s="17" t="s">
        <v>36</v>
      </c>
      <c r="D12" s="18">
        <f>SUMIF('حركة الوارد (الإضافة)'!C:C, B12, 'حركة الوارد (الإضافة)'!E:E)</f>
        <v>228.49999999999997</v>
      </c>
      <c r="E12" s="18">
        <f>SUMIF('حركة المنصرف (الصرف)'!C:C, B12, 'حركة المنصرف (الصرف)'!E:E)</f>
        <v>282</v>
      </c>
      <c r="F12" s="18">
        <f t="shared" si="0"/>
        <v>-53.500000000000028</v>
      </c>
      <c r="G12" s="19">
        <f>VLOOKUP(B12, 'ثوابت الأصناف'!A:G, 6, FALSE)</f>
        <v>0.3</v>
      </c>
      <c r="H12" s="20">
        <f>IF(ISNUMBER(G12), IF(G12&gt;0, F12/G12, "-"), "-")</f>
        <v>-178.33333333333343</v>
      </c>
    </row>
    <row r="13" spans="1:8" ht="22.2" customHeight="1" thickBot="1" x14ac:dyDescent="0.35">
      <c r="A13" s="21">
        <v>9</v>
      </c>
      <c r="B13" s="17" t="s">
        <v>65</v>
      </c>
      <c r="C13" s="22" t="s">
        <v>37</v>
      </c>
      <c r="D13" s="23">
        <f>SUMIF('حركة الوارد (الإضافة)'!C:C, B13, 'حركة الوارد (الإضافة)'!E:E)</f>
        <v>4921</v>
      </c>
      <c r="E13" s="23">
        <f>SUMIF('حركة المنصرف (الصرف)'!C:C, B13, 'حركة المنصرف (الصرف)'!E:E)</f>
        <v>2789.5</v>
      </c>
      <c r="F13" s="23">
        <f t="shared" si="0"/>
        <v>2131.5</v>
      </c>
      <c r="G13" s="24">
        <f>VLOOKUP(B13, 'ثوابت الأصناف'!A:G, 6, FALSE)</f>
        <v>0.7</v>
      </c>
      <c r="H13" s="25">
        <f t="shared" si="1"/>
        <v>3045</v>
      </c>
    </row>
    <row r="15" spans="1:8" ht="15" thickBot="1" x14ac:dyDescent="0.35"/>
    <row r="16" spans="1:8" ht="21.6" thickBot="1" x14ac:dyDescent="0.35">
      <c r="C16" s="49" t="s">
        <v>38</v>
      </c>
      <c r="D16" s="50"/>
      <c r="E16" s="29"/>
    </row>
    <row r="17" spans="3:5" ht="21" x14ac:dyDescent="0.3">
      <c r="C17" s="51" t="s">
        <v>57</v>
      </c>
      <c r="D17" s="52"/>
      <c r="E17" s="26">
        <f>SUM(H10+H11+H12)</f>
        <v>4481.666666666667</v>
      </c>
    </row>
    <row r="18" spans="3:5" ht="21" x14ac:dyDescent="0.3">
      <c r="C18" s="53" t="s">
        <v>56</v>
      </c>
      <c r="D18" s="54"/>
      <c r="E18" s="27">
        <f>H13</f>
        <v>3045</v>
      </c>
    </row>
    <row r="19" spans="3:5" ht="21.6" thickBot="1" x14ac:dyDescent="0.35">
      <c r="C19" s="46" t="s">
        <v>39</v>
      </c>
      <c r="D19" s="47"/>
      <c r="E19" s="28">
        <f>E17+E18</f>
        <v>7526.666666666667</v>
      </c>
    </row>
  </sheetData>
  <mergeCells count="5">
    <mergeCell ref="C19:D19"/>
    <mergeCell ref="A1:H2"/>
    <mergeCell ref="C16:D16"/>
    <mergeCell ref="C17:D17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rightToLeft="1" workbookViewId="0">
      <selection sqref="A1:G20"/>
    </sheetView>
  </sheetViews>
  <sheetFormatPr defaultRowHeight="21" x14ac:dyDescent="0.4"/>
  <cols>
    <col min="1" max="1" width="15" style="1" customWidth="1"/>
    <col min="2" max="2" width="17.6640625" customWidth="1"/>
    <col min="3" max="3" width="15" customWidth="1"/>
    <col min="4" max="4" width="41.88671875" style="63" customWidth="1"/>
    <col min="5" max="5" width="21.88671875" style="1" customWidth="1"/>
    <col min="6" max="6" width="21.6640625" style="1" customWidth="1"/>
    <col min="7" max="7" width="35.88671875" style="1" customWidth="1"/>
  </cols>
  <sheetData>
    <row r="1" spans="1:8" ht="14.4" x14ac:dyDescent="0.3">
      <c r="A1" s="55" t="s">
        <v>40</v>
      </c>
      <c r="B1" s="56"/>
      <c r="C1" s="56"/>
      <c r="D1" s="56"/>
      <c r="E1" s="56"/>
      <c r="F1" s="56"/>
      <c r="G1" s="57"/>
    </row>
    <row r="2" spans="1:8" ht="24" customHeight="1" thickBot="1" x14ac:dyDescent="0.35">
      <c r="A2" s="58"/>
      <c r="B2" s="59"/>
      <c r="C2" s="59"/>
      <c r="D2" s="59"/>
      <c r="E2" s="59"/>
      <c r="F2" s="59"/>
      <c r="G2" s="60"/>
    </row>
    <row r="3" spans="1:8" ht="7.2" customHeight="1" x14ac:dyDescent="0.4"/>
    <row r="4" spans="1:8" s="3" customFormat="1" ht="43.8" customHeight="1" x14ac:dyDescent="0.4">
      <c r="A4" s="61" t="s">
        <v>41</v>
      </c>
      <c r="B4" s="2" t="s">
        <v>42</v>
      </c>
      <c r="C4" s="2" t="s">
        <v>1</v>
      </c>
      <c r="D4" s="2" t="s">
        <v>43</v>
      </c>
      <c r="E4" s="61" t="s">
        <v>44</v>
      </c>
      <c r="F4" s="61" t="s">
        <v>45</v>
      </c>
      <c r="G4" s="61" t="s">
        <v>46</v>
      </c>
      <c r="H4" s="4"/>
    </row>
    <row r="5" spans="1:8" s="6" customFormat="1" ht="24" customHeight="1" x14ac:dyDescent="0.3">
      <c r="A5" s="12" t="s">
        <v>47</v>
      </c>
      <c r="B5" s="17" t="s">
        <v>70</v>
      </c>
      <c r="C5" s="17" t="s">
        <v>62</v>
      </c>
      <c r="D5" s="44" t="str">
        <f>IFERROR(VLOOKUP(C5, 'ثوابت الأصناف'!A:C, 2, FALSE) &amp; " - " &amp; VLOOKUP(C5, 'ثوابت الأصناف'!A:C, 3, FALSE), "")</f>
        <v>فواصل - 1 مللي</v>
      </c>
      <c r="E5" s="13">
        <v>350</v>
      </c>
      <c r="F5" s="32">
        <f>IF(E5&gt;0, E5 * VLOOKUP(C5, 'ثوابت الأصناف'!A:G, 7, FALSE), 0)</f>
        <v>1166.6666666666667</v>
      </c>
      <c r="G5" s="12" t="s">
        <v>48</v>
      </c>
    </row>
    <row r="6" spans="1:8" s="6" customFormat="1" ht="24" customHeight="1" x14ac:dyDescent="0.3">
      <c r="A6" s="12" t="s">
        <v>49</v>
      </c>
      <c r="B6" s="17" t="s">
        <v>71</v>
      </c>
      <c r="C6" s="17" t="s">
        <v>63</v>
      </c>
      <c r="D6" s="44" t="str">
        <f>IFERROR(VLOOKUP(C6, 'ثوابت الأصناف'!A:C, 2, FALSE) &amp; " - " &amp; VLOOKUP(C6, 'ثوابت الأصناف'!A:C, 3, FALSE), "")</f>
        <v>فواصل - 1.5 مللي</v>
      </c>
      <c r="E6" s="13">
        <f>109.5+638.5+2000</f>
        <v>2748</v>
      </c>
      <c r="F6" s="32">
        <f>IF(E6&gt;0, E6 * VLOOKUP(C6, 'ثوابت الأصناف'!A:G, 7, FALSE), 0)</f>
        <v>9160</v>
      </c>
      <c r="G6" s="12" t="s">
        <v>48</v>
      </c>
    </row>
    <row r="7" spans="1:8" s="6" customFormat="1" ht="24" customHeight="1" x14ac:dyDescent="0.3">
      <c r="A7" s="12" t="s">
        <v>50</v>
      </c>
      <c r="B7" s="17" t="s">
        <v>72</v>
      </c>
      <c r="C7" s="17" t="s">
        <v>64</v>
      </c>
      <c r="D7" s="44" t="str">
        <f>IFERROR(VLOOKUP(C7, 'ثوابت الأصناف'!A:C, 2, FALSE) &amp; " - " &amp; VLOOKUP(C7, 'ثوابت الأصناف'!A:C, 3, FALSE), "")</f>
        <v>فواصل - 2 مللي</v>
      </c>
      <c r="E7" s="13">
        <f>12.4+14.2+14.2+15.7+14+12.5+15.8+14.1+14.3+13.3+14.2+13.1+30+30.7</f>
        <v>228.49999999999997</v>
      </c>
      <c r="F7" s="32">
        <f>IF(E7&gt;0, E7 * VLOOKUP(C7, 'ثوابت الأصناف'!A:G, 7, FALSE), 0)</f>
        <v>761.66666666666663</v>
      </c>
      <c r="G7" s="12" t="s">
        <v>48</v>
      </c>
    </row>
    <row r="8" spans="1:8" s="6" customFormat="1" ht="24" customHeight="1" x14ac:dyDescent="0.3">
      <c r="A8" s="12" t="s">
        <v>51</v>
      </c>
      <c r="B8" s="17" t="s">
        <v>73</v>
      </c>
      <c r="C8" s="17" t="s">
        <v>65</v>
      </c>
      <c r="D8" s="44" t="str">
        <f>IFERROR(VLOOKUP(C8, 'ثوابت الأصناف'!A:C, 2, FALSE) &amp; " - " &amp; VLOOKUP(C8, 'ثوابت الأصناف'!A:C, 3, FALSE), "")</f>
        <v>المشبك - نوع واحد</v>
      </c>
      <c r="E8" s="13">
        <v>1375</v>
      </c>
      <c r="F8" s="32">
        <f>IF(E8&gt;0, E8 * VLOOKUP(C8, 'ثوابت الأصناف'!A:G, 7, FALSE), 0)</f>
        <v>1964.2857142857142</v>
      </c>
      <c r="G8" s="12" t="s">
        <v>48</v>
      </c>
    </row>
    <row r="9" spans="1:8" s="6" customFormat="1" ht="24" customHeight="1" x14ac:dyDescent="0.3">
      <c r="A9" s="12" t="s">
        <v>52</v>
      </c>
      <c r="B9" s="17" t="s">
        <v>74</v>
      </c>
      <c r="C9" s="12" t="s">
        <v>61</v>
      </c>
      <c r="D9" s="44" t="str">
        <f>IFERROR(VLOOKUP(C9, 'ثوابت الأصناف'!A:C, 2, FALSE) &amp; " - " &amp; VLOOKUP(C9, 'ثوابت الأصناف'!A:C, 3, FALSE), "")</f>
        <v>ريسايكل مخرز  - خامات تصنيع</v>
      </c>
      <c r="E9" s="13">
        <v>6182</v>
      </c>
      <c r="F9" s="32">
        <f>IF(E9&gt;0, E9 * VLOOKUP(C9, 'ثوابت الأصناف'!A:G, 7, FALSE), 0)</f>
        <v>0</v>
      </c>
      <c r="G9" s="12" t="s">
        <v>48</v>
      </c>
    </row>
    <row r="10" spans="1:8" s="6" customFormat="1" ht="24" customHeight="1" x14ac:dyDescent="0.3">
      <c r="A10" s="12" t="s">
        <v>52</v>
      </c>
      <c r="B10" s="17" t="s">
        <v>75</v>
      </c>
      <c r="C10" s="12" t="s">
        <v>58</v>
      </c>
      <c r="D10" s="44" t="str">
        <f>IFERROR(VLOOKUP(C10, 'ثوابت الأصناف'!A:C, 2, FALSE) &amp; " - " &amp; VLOOKUP(C10, 'ثوابت الأصناف'!A:C, 3, FALSE), "")</f>
        <v>بيور - خامات تصنيع</v>
      </c>
      <c r="E10" s="13">
        <v>1000</v>
      </c>
      <c r="F10" s="32">
        <f>IF(E10&gt;0, E10 * VLOOKUP(C10, 'ثوابت الأصناف'!A:G, 7, FALSE), 0)</f>
        <v>0</v>
      </c>
      <c r="G10" s="12" t="s">
        <v>48</v>
      </c>
    </row>
    <row r="11" spans="1:8" s="6" customFormat="1" ht="24" customHeight="1" x14ac:dyDescent="0.3">
      <c r="A11" s="12" t="s">
        <v>55</v>
      </c>
      <c r="B11" s="17" t="s">
        <v>76</v>
      </c>
      <c r="C11" s="17" t="s">
        <v>65</v>
      </c>
      <c r="D11" s="44" t="s">
        <v>37</v>
      </c>
      <c r="E11" s="13">
        <f>2899</f>
        <v>2899</v>
      </c>
      <c r="F11" s="32">
        <f>IF(E11&gt;0, E11 * VLOOKUP(C11, 'ثوابت الأصناف'!A:G, 7, FALSE), "")</f>
        <v>4141.4285714285716</v>
      </c>
      <c r="G11" s="12" t="s">
        <v>54</v>
      </c>
    </row>
    <row r="12" spans="1:8" s="6" customFormat="1" ht="24" customHeight="1" x14ac:dyDescent="0.3">
      <c r="A12" s="12" t="s">
        <v>50</v>
      </c>
      <c r="B12" s="17" t="s">
        <v>77</v>
      </c>
      <c r="C12" s="17" t="s">
        <v>62</v>
      </c>
      <c r="D12" s="44" t="str">
        <f>IFERROR(VLOOKUP(C12, 'ثوابت الأصناف'!A:C, 2, FALSE) &amp; " - " &amp; VLOOKUP(C12, 'ثوابت الأصناف'!A:C, 3, FALSE), "")</f>
        <v>فواصل - 1 مللي</v>
      </c>
      <c r="E12" s="13">
        <v>52</v>
      </c>
      <c r="F12" s="32">
        <f>IF(E12&gt;0, E12 * VLOOKUP(C12, 'ثوابت الأصناف'!A:G, 7, FALSE), "")</f>
        <v>173.33333333333334</v>
      </c>
      <c r="G12" s="12" t="s">
        <v>54</v>
      </c>
    </row>
    <row r="13" spans="1:8" s="6" customFormat="1" ht="24" customHeight="1" x14ac:dyDescent="0.3">
      <c r="A13" s="65">
        <v>46201</v>
      </c>
      <c r="B13" s="17" t="s">
        <v>80</v>
      </c>
      <c r="C13" s="17" t="s">
        <v>62</v>
      </c>
      <c r="D13" s="44" t="str">
        <f>IF(C13&lt;&gt;"", IFERROR(VLOOKUP(C13, 'ثوابت الأصناف'!A:C, 2, FALSE) &amp; " - " &amp; VLOOKUP(C13, 'ثوابت الأصناف'!A:C, 3, FALSE), ""), "")</f>
        <v>فواصل - 1 مللي</v>
      </c>
      <c r="E13" s="13">
        <v>93</v>
      </c>
      <c r="F13" s="32">
        <f>IF(E13&gt;0, E13 * VLOOKUP(C13, 'ثوابت الأصناف'!A:G, 7, FALSE), "")</f>
        <v>310</v>
      </c>
      <c r="G13" s="12" t="s">
        <v>54</v>
      </c>
    </row>
    <row r="14" spans="1:8" s="6" customFormat="1" ht="24" customHeight="1" x14ac:dyDescent="0.3">
      <c r="A14" s="65">
        <v>46202</v>
      </c>
      <c r="B14" s="17" t="s">
        <v>81</v>
      </c>
      <c r="C14" s="17" t="s">
        <v>65</v>
      </c>
      <c r="D14" s="44" t="str">
        <f>IF(C14&lt;&gt;"", IFERROR(VLOOKUP(C14, 'ثوابت الأصناف'!A:C, 2, FALSE) &amp; " - " &amp; VLOOKUP(C14, 'ثوابت الأصناف'!A:C, 3, FALSE), ""), "")</f>
        <v>المشبك - نوع واحد</v>
      </c>
      <c r="E14" s="13">
        <v>155</v>
      </c>
      <c r="F14" s="32">
        <f>IF(E14&gt;0, E14 * VLOOKUP(C14, 'ثوابت الأصناف'!A:G, 7, FALSE), "")</f>
        <v>221.42857142857144</v>
      </c>
      <c r="G14" s="31" t="s">
        <v>54</v>
      </c>
    </row>
    <row r="15" spans="1:8" s="6" customFormat="1" ht="24" customHeight="1" x14ac:dyDescent="0.3">
      <c r="A15" s="65">
        <v>46203</v>
      </c>
      <c r="B15" s="17" t="s">
        <v>81</v>
      </c>
      <c r="C15" s="17" t="s">
        <v>65</v>
      </c>
      <c r="D15" s="44" t="str">
        <f>IF(C15&lt;&gt;"", IFERROR(VLOOKUP(C15, 'ثوابت الأصناف'!A:C, 2, FALSE) &amp; " - " &amp; VLOOKUP(C15, 'ثوابت الأصناف'!A:C, 3, FALSE), ""), "")</f>
        <v>المشبك - نوع واحد</v>
      </c>
      <c r="E15" s="13">
        <v>307</v>
      </c>
      <c r="F15" s="32">
        <f>IF(E15&gt;0, E15 * VLOOKUP(C15, 'ثوابت الأصناف'!A:G, 7, FALSE), "")</f>
        <v>438.57142857142856</v>
      </c>
      <c r="G15" s="31" t="s">
        <v>54</v>
      </c>
    </row>
    <row r="16" spans="1:8" s="6" customFormat="1" ht="24" customHeight="1" x14ac:dyDescent="0.3">
      <c r="A16" s="35">
        <v>46205</v>
      </c>
      <c r="B16" s="17" t="s">
        <v>85</v>
      </c>
      <c r="C16" s="31" t="s">
        <v>58</v>
      </c>
      <c r="D16" s="44" t="str">
        <f>IF(C16&lt;&gt;"", IFERROR(VLOOKUP(C16, 'ثوابت الأصناف'!A:C, 2, FALSE) &amp; " - " &amp; VLOOKUP(C16, 'ثوابت الأصناف'!A:C, 3, FALSE), ""), "")</f>
        <v>بيور - خامات تصنيع</v>
      </c>
      <c r="E16" s="13">
        <v>1000</v>
      </c>
      <c r="F16" s="32">
        <f>IF(E16&gt;0, E16 * VLOOKUP(C16, 'ثوابت الأصناف'!A:G, 7, FALSE), "")</f>
        <v>0</v>
      </c>
      <c r="G16" s="31" t="s">
        <v>83</v>
      </c>
    </row>
    <row r="17" spans="1:7" s="6" customFormat="1" ht="24" customHeight="1" x14ac:dyDescent="0.3">
      <c r="A17" s="35">
        <v>46205</v>
      </c>
      <c r="B17" s="17" t="s">
        <v>86</v>
      </c>
      <c r="C17" s="31" t="s">
        <v>61</v>
      </c>
      <c r="D17" s="44" t="str">
        <f>IF(C17&lt;&gt;"", IFERROR(VLOOKUP(C17, 'ثوابت الأصناف'!A:C, 2, FALSE) &amp; " - " &amp; VLOOKUP(C17, 'ثوابت الأصناف'!A:C, 3, FALSE), ""), "")</f>
        <v>ريسايكل مخرز  - خامات تصنيع</v>
      </c>
      <c r="E17" s="13">
        <v>2075</v>
      </c>
      <c r="F17" s="32">
        <f>IF(E17&gt;0, E17 * VLOOKUP(C17, 'ثوابت الأصناف'!A:G, 7, FALSE), "")</f>
        <v>0</v>
      </c>
      <c r="G17" s="31" t="s">
        <v>84</v>
      </c>
    </row>
    <row r="18" spans="1:7" s="6" customFormat="1" ht="24" customHeight="1" x14ac:dyDescent="0.3">
      <c r="A18" s="35">
        <v>46205</v>
      </c>
      <c r="B18" s="17" t="s">
        <v>87</v>
      </c>
      <c r="C18" s="17" t="s">
        <v>65</v>
      </c>
      <c r="D18" s="44" t="str">
        <f>IF(C18&lt;&gt;"", IFERROR(VLOOKUP(C18, 'ثوابت الأصناف'!A:C, 2, FALSE) &amp; " - " &amp; VLOOKUP(C18, 'ثوابت الأصناف'!A:C, 3, FALSE), ""), "")</f>
        <v>المشبك - نوع واحد</v>
      </c>
      <c r="E18" s="13">
        <v>185</v>
      </c>
      <c r="F18" s="32">
        <f>IF(E18&gt;0, E18 * VLOOKUP(C18, 'ثوابت الأصناف'!A:G, 7, FALSE), "")</f>
        <v>264.28571428571428</v>
      </c>
      <c r="G18" s="31" t="s">
        <v>54</v>
      </c>
    </row>
    <row r="19" spans="1:7" s="6" customFormat="1" ht="24" customHeight="1" x14ac:dyDescent="0.3">
      <c r="A19" s="35"/>
      <c r="B19" s="17"/>
      <c r="C19" s="31"/>
      <c r="D19" s="44" t="str">
        <f>IF(C19&lt;&gt;"", IFERROR(VLOOKUP(C19, 'ثوابت الأصناف'!A:C, 2, FALSE) &amp; " - " &amp; VLOOKUP(C19, 'ثوابت الأصناف'!A:C, 3, FALSE), ""), "")</f>
        <v/>
      </c>
      <c r="E19" s="13"/>
      <c r="F19" s="32" t="str">
        <f>IF(E19&gt;0, E19 * VLOOKUP(C19, 'ثوابت الأصناف'!A:G, 7, FALSE), "")</f>
        <v/>
      </c>
      <c r="G19" s="31"/>
    </row>
    <row r="20" spans="1:7" s="6" customFormat="1" ht="24" customHeight="1" x14ac:dyDescent="0.3">
      <c r="A20" s="31"/>
      <c r="B20" s="31"/>
      <c r="C20" s="31"/>
      <c r="D20" s="44" t="str">
        <f>IF(C20&lt;&gt;"", IFERROR(VLOOKUP(C20, 'ثوابت الأصناف'!A:C, 2, FALSE) &amp; " - " &amp; VLOOKUP(C20, 'ثوابت الأصناف'!A:C, 3, FALSE), ""), "")</f>
        <v/>
      </c>
      <c r="E20" s="13"/>
      <c r="F20" s="32" t="str">
        <f>IF(E20&gt;0, E20 * VLOOKUP(C20, 'ثوابت الأصناف'!A:G, 7, FALSE), "")</f>
        <v/>
      </c>
      <c r="G20" s="31"/>
    </row>
    <row r="21" spans="1:7" s="6" customFormat="1" ht="24" customHeight="1" x14ac:dyDescent="0.3">
      <c r="A21" s="31"/>
      <c r="B21" s="31"/>
      <c r="C21" s="31"/>
      <c r="D21" s="44" t="str">
        <f>IF(C21&lt;&gt;"", IFERROR(VLOOKUP(C21, 'ثوابت الأصناف'!A:C, 2, FALSE) &amp; " - " &amp; VLOOKUP(C21, 'ثوابت الأصناف'!A:C, 3, FALSE), ""), "")</f>
        <v/>
      </c>
      <c r="E21" s="13"/>
      <c r="F21" s="32" t="str">
        <f>IF(E21&gt;0, E21 * VLOOKUP(C21, 'ثوابت الأصناف'!A:G, 7, FALSE), "")</f>
        <v/>
      </c>
      <c r="G21" s="31"/>
    </row>
    <row r="22" spans="1:7" s="6" customFormat="1" ht="24" customHeight="1" x14ac:dyDescent="0.3">
      <c r="A22" s="31"/>
      <c r="B22" s="31"/>
      <c r="C22" s="31"/>
      <c r="D22" s="44" t="str">
        <f>IF(C22&lt;&gt;"", IFERROR(VLOOKUP(C22, 'ثوابت الأصناف'!A:C, 2, FALSE) &amp; " - " &amp; VLOOKUP(C22, 'ثوابت الأصناف'!A:C, 3, FALSE), ""), "")</f>
        <v/>
      </c>
      <c r="E22" s="13"/>
      <c r="F22" s="32" t="str">
        <f>IF(E22&gt;0, E22 * VLOOKUP(C22, 'ثوابت الأصناف'!A:G, 7, FALSE), "")</f>
        <v/>
      </c>
      <c r="G22" s="31"/>
    </row>
    <row r="23" spans="1:7" s="6" customFormat="1" ht="24" customHeight="1" x14ac:dyDescent="0.3">
      <c r="A23" s="31"/>
      <c r="B23" s="31"/>
      <c r="C23" s="31"/>
      <c r="D23" s="44" t="str">
        <f>IF(C23&lt;&gt;"", IFERROR(VLOOKUP(C23, 'ثوابت الأصناف'!A:C, 2, FALSE) &amp; " - " &amp; VLOOKUP(C23, 'ثوابت الأصناف'!A:C, 3, FALSE), ""), "")</f>
        <v/>
      </c>
      <c r="E23" s="13"/>
      <c r="F23" s="32" t="str">
        <f>IF(E23&gt;0, E23 * VLOOKUP(C23, 'ثوابت الأصناف'!A:G, 7, FALSE), "")</f>
        <v/>
      </c>
      <c r="G23" s="31"/>
    </row>
    <row r="24" spans="1:7" s="6" customFormat="1" ht="24" customHeight="1" x14ac:dyDescent="0.3">
      <c r="A24" s="31"/>
      <c r="B24" s="31"/>
      <c r="C24" s="31"/>
      <c r="D24" s="44" t="str">
        <f>IF(C24&lt;&gt;"", IFERROR(VLOOKUP(C24, 'ثوابت الأصناف'!A:C, 2, FALSE) &amp; " - " &amp; VLOOKUP(C24, 'ثوابت الأصناف'!A:C, 3, FALSE), ""), "")</f>
        <v/>
      </c>
      <c r="E24" s="13"/>
      <c r="F24" s="32" t="str">
        <f>IF(E24&gt;0, E24 * VLOOKUP(C24, 'ثوابت الأصناف'!A:G, 7, FALSE), "")</f>
        <v/>
      </c>
      <c r="G24" s="31"/>
    </row>
    <row r="25" spans="1:7" s="6" customFormat="1" ht="24" customHeight="1" x14ac:dyDescent="0.3">
      <c r="A25" s="31"/>
      <c r="B25" s="31"/>
      <c r="C25" s="31"/>
      <c r="D25" s="44" t="str">
        <f>IF(C25&lt;&gt;"", IFERROR(VLOOKUP(C25, 'ثوابت الأصناف'!A:C, 2, FALSE) &amp; " - " &amp; VLOOKUP(C25, 'ثوابت الأصناف'!A:C, 3, FALSE), ""), "")</f>
        <v/>
      </c>
      <c r="E25" s="13"/>
      <c r="F25" s="32" t="str">
        <f>IF(E25&gt;0, E25 * VLOOKUP(C25, 'ثوابت الأصناف'!A:G, 7, FALSE), "")</f>
        <v/>
      </c>
      <c r="G25" s="31"/>
    </row>
    <row r="26" spans="1:7" s="6" customFormat="1" ht="24" customHeight="1" x14ac:dyDescent="0.3">
      <c r="A26" s="31"/>
      <c r="B26" s="31"/>
      <c r="C26" s="31"/>
      <c r="D26" s="44" t="str">
        <f>IF(C26&lt;&gt;"", IFERROR(VLOOKUP(C26, 'ثوابت الأصناف'!A:C, 2, FALSE) &amp; " - " &amp; VLOOKUP(C26, 'ثوابت الأصناف'!A:C, 3, FALSE), ""), "")</f>
        <v/>
      </c>
      <c r="E26" s="13"/>
      <c r="F26" s="32" t="str">
        <f>IF(E26&gt;0, E26 * VLOOKUP(C26, 'ثوابت الأصناف'!A:G, 7, FALSE), "")</f>
        <v/>
      </c>
      <c r="G26" s="31"/>
    </row>
    <row r="27" spans="1:7" s="6" customFormat="1" ht="24" customHeight="1" x14ac:dyDescent="0.3">
      <c r="A27" s="31"/>
      <c r="B27" s="31"/>
      <c r="C27" s="31"/>
      <c r="D27" s="44" t="str">
        <f>IF(C27&lt;&gt;"", IFERROR(VLOOKUP(C27, 'ثوابت الأصناف'!A:C, 2, FALSE) &amp; " - " &amp; VLOOKUP(C27, 'ثوابت الأصناف'!A:C, 3, FALSE), ""), "")</f>
        <v/>
      </c>
      <c r="E27" s="13"/>
      <c r="F27" s="32" t="str">
        <f>IF(E27&gt;0, E27 * VLOOKUP(C27, 'ثوابت الأصناف'!A:G, 7, FALSE), "")</f>
        <v/>
      </c>
      <c r="G27" s="31"/>
    </row>
    <row r="28" spans="1:7" s="6" customFormat="1" ht="24" customHeight="1" x14ac:dyDescent="0.3">
      <c r="A28" s="31"/>
      <c r="B28" s="31"/>
      <c r="C28" s="31"/>
      <c r="D28" s="44" t="str">
        <f>IF(C28&lt;&gt;"", IFERROR(VLOOKUP(C28, 'ثوابت الأصناف'!A:C, 2, FALSE) &amp; " - " &amp; VLOOKUP(C28, 'ثوابت الأصناف'!A:C, 3, FALSE), ""), "")</f>
        <v/>
      </c>
      <c r="E28" s="13"/>
      <c r="F28" s="32" t="str">
        <f>IF(E28&gt;0, E28 * VLOOKUP(C28, 'ثوابت الأصناف'!A:G, 7, FALSE), "")</f>
        <v/>
      </c>
      <c r="G28" s="31"/>
    </row>
    <row r="29" spans="1:7" s="6" customFormat="1" ht="24" customHeight="1" x14ac:dyDescent="0.3">
      <c r="A29" s="31"/>
      <c r="B29" s="31"/>
      <c r="C29" s="31"/>
      <c r="D29" s="44" t="str">
        <f>IF(C29&lt;&gt;"", IFERROR(VLOOKUP(C29, 'ثوابت الأصناف'!A:C, 2, FALSE) &amp; " - " &amp; VLOOKUP(C29, 'ثوابت الأصناف'!A:C, 3, FALSE), ""), "")</f>
        <v/>
      </c>
      <c r="E29" s="13"/>
      <c r="F29" s="32" t="str">
        <f>IF(E29&gt;0, E29 * VLOOKUP(C29, 'ثوابت الأصناف'!A:G, 7, FALSE), "")</f>
        <v/>
      </c>
      <c r="G29" s="31"/>
    </row>
    <row r="30" spans="1:7" s="6" customFormat="1" ht="24" customHeight="1" x14ac:dyDescent="0.3">
      <c r="A30" s="31"/>
      <c r="B30" s="31"/>
      <c r="C30" s="31"/>
      <c r="D30" s="44" t="str">
        <f>IF(C30&lt;&gt;"", IFERROR(VLOOKUP(C30, 'ثوابت الأصناف'!A:C, 2, FALSE) &amp; " - " &amp; VLOOKUP(C30, 'ثوابت الأصناف'!A:C, 3, FALSE), ""), "")</f>
        <v/>
      </c>
      <c r="E30" s="13"/>
      <c r="F30" s="32" t="str">
        <f>IF(E30&gt;0, E30 * VLOOKUP(C30, 'ثوابت الأصناف'!A:G, 7, FALSE), "")</f>
        <v/>
      </c>
      <c r="G30" s="31"/>
    </row>
    <row r="31" spans="1:7" s="6" customFormat="1" ht="24" customHeight="1" x14ac:dyDescent="0.3">
      <c r="A31" s="31"/>
      <c r="B31" s="31"/>
      <c r="C31" s="31"/>
      <c r="D31" s="44" t="str">
        <f>IF(C31&lt;&gt;"", IFERROR(VLOOKUP(C31, 'ثوابت الأصناف'!A:C, 2, FALSE) &amp; " - " &amp; VLOOKUP(C31, 'ثوابت الأصناف'!A:C, 3, FALSE), ""), "")</f>
        <v/>
      </c>
      <c r="E31" s="13"/>
      <c r="F31" s="32" t="str">
        <f>IF(E31&gt;0, E31 * VLOOKUP(C31, 'ثوابت الأصناف'!A:G, 7, FALSE), "")</f>
        <v/>
      </c>
      <c r="G31" s="31"/>
    </row>
    <row r="32" spans="1:7" s="6" customFormat="1" ht="24" customHeight="1" x14ac:dyDescent="0.3">
      <c r="A32" s="31"/>
      <c r="B32" s="31"/>
      <c r="C32" s="31"/>
      <c r="D32" s="44" t="str">
        <f>IF(C32&lt;&gt;"", IFERROR(VLOOKUP(C32, 'ثوابت الأصناف'!A:C, 2, FALSE) &amp; " - " &amp; VLOOKUP(C32, 'ثوابت الأصناف'!A:C, 3, FALSE), ""), "")</f>
        <v/>
      </c>
      <c r="E32" s="13"/>
      <c r="F32" s="32" t="str">
        <f>IF(E32&gt;0, E32 * VLOOKUP(C32, 'ثوابت الأصناف'!A:G, 7, FALSE), "")</f>
        <v/>
      </c>
      <c r="G32" s="31"/>
    </row>
    <row r="33" spans="1:7" s="6" customFormat="1" ht="24" customHeight="1" x14ac:dyDescent="0.3">
      <c r="A33" s="31"/>
      <c r="B33" s="31"/>
      <c r="C33" s="31"/>
      <c r="D33" s="44" t="str">
        <f>IF(C33&lt;&gt;"", IFERROR(VLOOKUP(C33, 'ثوابت الأصناف'!A:C, 2, FALSE) &amp; " - " &amp; VLOOKUP(C33, 'ثوابت الأصناف'!A:C, 3, FALSE), ""), "")</f>
        <v/>
      </c>
      <c r="E33" s="13"/>
      <c r="F33" s="32" t="str">
        <f>IF(E33&gt;0, E33 * VLOOKUP(C33, 'ثوابت الأصناف'!A:G, 7, FALSE), "")</f>
        <v/>
      </c>
      <c r="G33" s="31"/>
    </row>
    <row r="34" spans="1:7" s="6" customFormat="1" ht="24" customHeight="1" x14ac:dyDescent="0.3">
      <c r="A34" s="31"/>
      <c r="B34" s="31"/>
      <c r="C34" s="31"/>
      <c r="D34" s="44" t="str">
        <f>IF(C34&lt;&gt;"", IFERROR(VLOOKUP(C34, 'ثوابت الأصناف'!A:C, 2, FALSE) &amp; " - " &amp; VLOOKUP(C34, 'ثوابت الأصناف'!A:C, 3, FALSE), ""), "")</f>
        <v/>
      </c>
      <c r="E34" s="13"/>
      <c r="F34" s="32" t="str">
        <f>IF(E34&gt;0, E34 * VLOOKUP(C34, 'ثوابت الأصناف'!A:G, 7, FALSE), "")</f>
        <v/>
      </c>
      <c r="G34" s="31"/>
    </row>
    <row r="35" spans="1:7" s="6" customFormat="1" ht="24" customHeight="1" x14ac:dyDescent="0.3">
      <c r="A35" s="31"/>
      <c r="B35" s="31"/>
      <c r="C35" s="31"/>
      <c r="D35" s="44" t="str">
        <f>IF(C35&lt;&gt;"", IFERROR(VLOOKUP(C35, 'ثوابت الأصناف'!A:C, 2, FALSE) &amp; " - " &amp; VLOOKUP(C35, 'ثوابت الأصناف'!A:C, 3, FALSE), ""), "")</f>
        <v/>
      </c>
      <c r="E35" s="13"/>
      <c r="F35" s="32" t="str">
        <f>IF(E35&gt;0, E35 * VLOOKUP(C35, 'ثوابت الأصناف'!A:G, 7, FALSE), "")</f>
        <v/>
      </c>
      <c r="G35" s="31"/>
    </row>
    <row r="36" spans="1:7" s="6" customFormat="1" ht="24" customHeight="1" x14ac:dyDescent="0.3">
      <c r="A36" s="31"/>
      <c r="B36" s="31"/>
      <c r="C36" s="31"/>
      <c r="D36" s="44" t="str">
        <f>IF(C36&lt;&gt;"", IFERROR(VLOOKUP(C36, 'ثوابت الأصناف'!A:C, 2, FALSE) &amp; " - " &amp; VLOOKUP(C36, 'ثوابت الأصناف'!A:C, 3, FALSE), ""), "")</f>
        <v/>
      </c>
      <c r="E36" s="13"/>
      <c r="F36" s="32" t="str">
        <f>IF(E36&gt;0, E36 * VLOOKUP(C36, 'ثوابت الأصناف'!A:G, 7, FALSE), "")</f>
        <v/>
      </c>
      <c r="G36" s="31"/>
    </row>
    <row r="37" spans="1:7" s="6" customFormat="1" ht="24" customHeight="1" x14ac:dyDescent="0.3">
      <c r="A37" s="31"/>
      <c r="B37" s="31"/>
      <c r="C37" s="31"/>
      <c r="D37" s="44" t="str">
        <f>IF(C37&lt;&gt;"", IFERROR(VLOOKUP(C37, 'ثوابت الأصناف'!A:C, 2, FALSE) &amp; " - " &amp; VLOOKUP(C37, 'ثوابت الأصناف'!A:C, 3, FALSE), ""), "")</f>
        <v/>
      </c>
      <c r="E37" s="13"/>
      <c r="F37" s="32" t="str">
        <f>IF(E37&gt;0, E37 * VLOOKUP(C37, 'ثوابت الأصناف'!A:G, 7, FALSE), "")</f>
        <v/>
      </c>
      <c r="G37" s="31"/>
    </row>
    <row r="38" spans="1:7" s="6" customFormat="1" ht="24" customHeight="1" x14ac:dyDescent="0.4">
      <c r="A38" s="62"/>
      <c r="B38" s="7"/>
      <c r="C38" s="7"/>
      <c r="D38" s="64"/>
      <c r="E38" s="62"/>
      <c r="F38" s="62"/>
      <c r="G38" s="62"/>
    </row>
    <row r="39" spans="1:7" s="6" customFormat="1" ht="24" customHeight="1" x14ac:dyDescent="0.4">
      <c r="A39" s="62"/>
      <c r="B39" s="7"/>
      <c r="C39" s="7"/>
      <c r="D39" s="64"/>
      <c r="E39" s="62"/>
      <c r="F39" s="62"/>
      <c r="G39" s="62"/>
    </row>
    <row r="40" spans="1:7" s="6" customFormat="1" ht="24" customHeight="1" x14ac:dyDescent="0.4">
      <c r="A40" s="62"/>
      <c r="B40" s="7"/>
      <c r="C40" s="7"/>
      <c r="D40" s="64"/>
      <c r="E40" s="62"/>
      <c r="F40" s="62"/>
      <c r="G40" s="62"/>
    </row>
    <row r="41" spans="1:7" s="6" customFormat="1" ht="24" customHeight="1" x14ac:dyDescent="0.4">
      <c r="A41" s="62"/>
      <c r="B41" s="7"/>
      <c r="C41" s="7"/>
      <c r="D41" s="64"/>
      <c r="E41" s="62"/>
      <c r="F41" s="62"/>
      <c r="G41" s="62"/>
    </row>
    <row r="42" spans="1:7" s="6" customFormat="1" ht="24" customHeight="1" x14ac:dyDescent="0.4">
      <c r="A42" s="62"/>
      <c r="B42" s="7"/>
      <c r="C42" s="7"/>
      <c r="D42" s="64"/>
      <c r="E42" s="62"/>
      <c r="F42" s="62"/>
      <c r="G42" s="62"/>
    </row>
    <row r="43" spans="1:7" s="6" customFormat="1" ht="24" customHeight="1" x14ac:dyDescent="0.4">
      <c r="A43" s="62"/>
      <c r="B43" s="7"/>
      <c r="C43" s="7"/>
      <c r="D43" s="64"/>
      <c r="E43" s="62"/>
      <c r="F43" s="62"/>
      <c r="G43" s="62"/>
    </row>
    <row r="44" spans="1:7" s="6" customFormat="1" ht="24" customHeight="1" x14ac:dyDescent="0.4">
      <c r="A44" s="62"/>
      <c r="B44" s="7"/>
      <c r="C44" s="7"/>
      <c r="D44" s="64"/>
      <c r="E44" s="62"/>
      <c r="F44" s="62"/>
      <c r="G44" s="62"/>
    </row>
    <row r="45" spans="1:7" s="6" customFormat="1" ht="24" customHeight="1" x14ac:dyDescent="0.4">
      <c r="A45" s="62"/>
      <c r="B45" s="7"/>
      <c r="C45" s="7"/>
      <c r="D45" s="64"/>
      <c r="E45" s="62"/>
      <c r="F45" s="62"/>
      <c r="G45" s="62"/>
    </row>
    <row r="46" spans="1:7" s="6" customFormat="1" ht="24" customHeight="1" x14ac:dyDescent="0.4">
      <c r="A46" s="62"/>
      <c r="B46" s="7"/>
      <c r="C46" s="7"/>
      <c r="D46" s="64"/>
      <c r="E46" s="62"/>
      <c r="F46" s="62"/>
      <c r="G46" s="62"/>
    </row>
    <row r="47" spans="1:7" s="6" customFormat="1" ht="24" customHeight="1" x14ac:dyDescent="0.4">
      <c r="A47" s="62"/>
      <c r="B47" s="7"/>
      <c r="C47" s="7"/>
      <c r="D47" s="64"/>
      <c r="E47" s="62"/>
      <c r="F47" s="62"/>
      <c r="G47" s="62"/>
    </row>
    <row r="48" spans="1:7" s="6" customFormat="1" ht="24" customHeight="1" x14ac:dyDescent="0.4">
      <c r="A48" s="62"/>
      <c r="B48" s="7"/>
      <c r="C48" s="7"/>
      <c r="D48" s="64"/>
      <c r="E48" s="62"/>
      <c r="F48" s="62"/>
      <c r="G48" s="62"/>
    </row>
  </sheetData>
  <mergeCells count="1">
    <mergeCell ref="A1:G2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rightToLeft="1" tabSelected="1" workbookViewId="0">
      <selection activeCell="E18" sqref="E18"/>
    </sheetView>
  </sheetViews>
  <sheetFormatPr defaultRowHeight="14.4" x14ac:dyDescent="0.3"/>
  <cols>
    <col min="1" max="1" width="15" customWidth="1"/>
    <col min="2" max="2" width="19" customWidth="1"/>
    <col min="3" max="3" width="15" customWidth="1"/>
    <col min="4" max="4" width="36.88671875" customWidth="1"/>
    <col min="5" max="5" width="21.88671875" customWidth="1"/>
    <col min="6" max="6" width="34.88671875" customWidth="1"/>
    <col min="7" max="7" width="45.33203125" customWidth="1"/>
  </cols>
  <sheetData>
    <row r="1" spans="1:8" x14ac:dyDescent="0.3">
      <c r="A1" s="45" t="s">
        <v>53</v>
      </c>
      <c r="B1" s="45"/>
      <c r="C1" s="45"/>
      <c r="D1" s="45"/>
      <c r="E1" s="45"/>
      <c r="F1" s="45"/>
      <c r="G1" s="45"/>
    </row>
    <row r="2" spans="1:8" ht="22.8" customHeight="1" x14ac:dyDescent="0.3">
      <c r="A2" s="45"/>
      <c r="B2" s="45"/>
      <c r="C2" s="45"/>
      <c r="D2" s="45"/>
      <c r="E2" s="45"/>
      <c r="F2" s="45"/>
      <c r="G2" s="45"/>
    </row>
    <row r="3" spans="1:8" ht="5.4" customHeight="1" x14ac:dyDescent="0.3"/>
    <row r="4" spans="1:8" s="3" customFormat="1" ht="40.200000000000003" customHeight="1" x14ac:dyDescent="0.4">
      <c r="A4" s="30" t="s">
        <v>41</v>
      </c>
      <c r="B4" s="30" t="s">
        <v>42</v>
      </c>
      <c r="C4" s="30" t="s">
        <v>1</v>
      </c>
      <c r="D4" s="30" t="s">
        <v>43</v>
      </c>
      <c r="E4" s="30" t="s">
        <v>44</v>
      </c>
      <c r="F4" s="30" t="s">
        <v>45</v>
      </c>
      <c r="G4" s="30" t="s">
        <v>46</v>
      </c>
      <c r="H4" s="4"/>
    </row>
    <row r="5" spans="1:8" ht="22.8" customHeight="1" x14ac:dyDescent="0.3">
      <c r="A5" s="35">
        <v>46200</v>
      </c>
      <c r="B5" s="31"/>
      <c r="C5" s="34" t="s">
        <v>62</v>
      </c>
      <c r="D5" s="17" t="s">
        <v>34</v>
      </c>
      <c r="E5" s="13">
        <v>240</v>
      </c>
      <c r="F5" s="32">
        <f>IF(E5&gt;0, E5 * VLOOKUP(C5, 'ثوابت الأصناف'!A:G, 7, FALSE), "")</f>
        <v>800</v>
      </c>
      <c r="G5" s="31" t="s">
        <v>66</v>
      </c>
    </row>
    <row r="6" spans="1:8" ht="22.8" customHeight="1" x14ac:dyDescent="0.3">
      <c r="A6" s="35">
        <v>46200</v>
      </c>
      <c r="B6" s="31"/>
      <c r="C6" s="34" t="s">
        <v>63</v>
      </c>
      <c r="D6" s="12" t="s">
        <v>35</v>
      </c>
      <c r="E6" s="13">
        <v>960</v>
      </c>
      <c r="F6" s="32">
        <f>IF(E6&gt;0, E6 * VLOOKUP(C6, 'ثوابت الأصناف'!A:G, 7, FALSE), "")</f>
        <v>3200</v>
      </c>
      <c r="G6" s="31" t="s">
        <v>67</v>
      </c>
    </row>
    <row r="7" spans="1:8" ht="22.8" customHeight="1" x14ac:dyDescent="0.3">
      <c r="A7" s="35">
        <v>46200</v>
      </c>
      <c r="B7" s="31"/>
      <c r="C7" s="34" t="s">
        <v>64</v>
      </c>
      <c r="D7" s="17" t="s">
        <v>36</v>
      </c>
      <c r="E7" s="13">
        <v>87</v>
      </c>
      <c r="F7" s="32">
        <f>IF(E7&gt;0, E7 * VLOOKUP(C7, 'ثوابت الأصناف'!A:G, 7, FALSE), "")</f>
        <v>290</v>
      </c>
      <c r="G7" s="31" t="s">
        <v>68</v>
      </c>
    </row>
    <row r="8" spans="1:8" ht="22.8" customHeight="1" thickBot="1" x14ac:dyDescent="0.35">
      <c r="A8" s="35">
        <v>46200</v>
      </c>
      <c r="B8" s="31"/>
      <c r="C8" s="34" t="s">
        <v>65</v>
      </c>
      <c r="D8" s="22" t="s">
        <v>37</v>
      </c>
      <c r="E8" s="13">
        <v>1512</v>
      </c>
      <c r="F8" s="32">
        <f>IF(E8&gt;0, E8 * VLOOKUP(C8, 'ثوابت الأصناف'!A:G, 7, FALSE), "")</f>
        <v>2160</v>
      </c>
      <c r="G8" s="31" t="s">
        <v>69</v>
      </c>
    </row>
    <row r="9" spans="1:8" ht="22.8" customHeight="1" x14ac:dyDescent="0.3">
      <c r="A9" s="35">
        <v>46198</v>
      </c>
      <c r="B9" s="31"/>
      <c r="C9" s="31" t="s">
        <v>58</v>
      </c>
      <c r="D9" s="12" t="str">
        <f>IF(C9&lt;&gt;"", IFERROR(VLOOKUP(C9, 'ثوابت الأصناف'!A:C, 2, FALSE) &amp; " - " &amp; VLOOKUP(C9, 'ثوابت الأصناف'!A:C, 3, FALSE), ""), "")</f>
        <v>بيور - خامات تصنيع</v>
      </c>
      <c r="E9" s="13">
        <v>250</v>
      </c>
      <c r="F9" s="32">
        <f>IF(E9&gt;0, E9 * VLOOKUP(C9, 'ثوابت الأصناف'!A:G, 7, FALSE), "")</f>
        <v>0</v>
      </c>
      <c r="G9" s="31" t="s">
        <v>54</v>
      </c>
    </row>
    <row r="10" spans="1:8" ht="22.8" customHeight="1" x14ac:dyDescent="0.3">
      <c r="A10" s="35">
        <v>46198</v>
      </c>
      <c r="B10" s="31"/>
      <c r="C10" s="31" t="s">
        <v>61</v>
      </c>
      <c r="D10" s="12" t="str">
        <f>IF(C10&lt;&gt;"", IFERROR(VLOOKUP(C10, 'ثوابت الأصناف'!A:C, 2, FALSE) &amp; " - " &amp; VLOOKUP(C10, 'ثوابت الأصناف'!A:C, 3, FALSE), ""), "")</f>
        <v>ريسايكل مخرز  - خامات تصنيع</v>
      </c>
      <c r="E10" s="13">
        <v>5429</v>
      </c>
      <c r="F10" s="32">
        <f>IF(E10&gt;0, E10 * VLOOKUP(C10, 'ثوابت الأصناف'!A:G, 7, FALSE), "")</f>
        <v>0</v>
      </c>
      <c r="G10" s="31" t="s">
        <v>54</v>
      </c>
    </row>
    <row r="11" spans="1:8" ht="22.8" customHeight="1" x14ac:dyDescent="0.3">
      <c r="A11" s="35">
        <v>46202</v>
      </c>
      <c r="B11" s="31"/>
      <c r="C11" s="34" t="s">
        <v>63</v>
      </c>
      <c r="D11" s="12" t="str">
        <f>IF(C11&lt;&gt;"", IFERROR(VLOOKUP(C11, 'ثوابت الأصناف'!A:C, 2, FALSE) &amp; " - " &amp; VLOOKUP(C11, 'ثوابت الأصناف'!A:C, 3, FALSE), ""), "")</f>
        <v>فواصل - 1.5 مللي</v>
      </c>
      <c r="E11" s="13">
        <v>300</v>
      </c>
      <c r="F11" s="32">
        <f>IF(E11&gt;0, E11 * VLOOKUP(C11, 'ثوابت الأصناف'!A:G, 7, FALSE), "")</f>
        <v>1000</v>
      </c>
      <c r="G11" s="31" t="s">
        <v>82</v>
      </c>
    </row>
    <row r="12" spans="1:8" ht="22.8" customHeight="1" x14ac:dyDescent="0.3">
      <c r="A12" s="35">
        <v>46202</v>
      </c>
      <c r="B12" s="31"/>
      <c r="C12" s="34" t="s">
        <v>65</v>
      </c>
      <c r="D12" s="12" t="str">
        <f>IF(C12&lt;&gt;"", IFERROR(VLOOKUP(C12, 'ثوابت الأصناف'!A:C, 2, FALSE) &amp; " - " &amp; VLOOKUP(C12, 'ثوابت الأصناف'!A:C, 3, FALSE), ""), "")</f>
        <v>المشبك - نوع واحد</v>
      </c>
      <c r="E12" s="13">
        <v>350</v>
      </c>
      <c r="F12" s="32">
        <f>IF(E12&gt;0, E12 * VLOOKUP(C12, 'ثوابت الأصناف'!A:G, 7, FALSE), "")</f>
        <v>500</v>
      </c>
      <c r="G12" s="31" t="s">
        <v>82</v>
      </c>
    </row>
    <row r="13" spans="1:8" ht="22.8" customHeight="1" x14ac:dyDescent="0.3">
      <c r="A13" s="35">
        <v>46205</v>
      </c>
      <c r="B13" s="31"/>
      <c r="C13" s="31" t="s">
        <v>61</v>
      </c>
      <c r="D13" s="12" t="str">
        <f>IF(C13&lt;&gt;"", IFERROR(VLOOKUP(C13, 'ثوابت الأصناف'!A:C, 2, FALSE) &amp; " - " &amp; VLOOKUP(C13, 'ثوابت الأصناف'!A:C, 3, FALSE), ""), "")</f>
        <v>ريسايكل مخرز  - خامات تصنيع</v>
      </c>
      <c r="E13" s="13">
        <v>2075</v>
      </c>
      <c r="F13" s="32">
        <f>IF(E13&gt;0, E13 * VLOOKUP(C13, 'ثوابت الأصناف'!A:G, 7, FALSE), "")</f>
        <v>0</v>
      </c>
      <c r="G13" s="31" t="s">
        <v>54</v>
      </c>
    </row>
    <row r="14" spans="1:8" ht="22.8" customHeight="1" x14ac:dyDescent="0.3">
      <c r="A14" s="35">
        <v>46205</v>
      </c>
      <c r="B14" s="31"/>
      <c r="C14" s="34" t="s">
        <v>64</v>
      </c>
      <c r="D14" s="12" t="str">
        <f>IF(C14&lt;&gt;"", IFERROR(VLOOKUP(C14, 'ثوابت الأصناف'!A:C, 2, FALSE) &amp; " - " &amp; VLOOKUP(C14, 'ثوابت الأصناف'!A:C, 3, FALSE), ""), "")</f>
        <v>فواصل - 2 مللي</v>
      </c>
      <c r="E14" s="13">
        <v>150</v>
      </c>
      <c r="F14" s="32">
        <f>IF(E14&gt;0, E14 * VLOOKUP(C14, 'ثوابت الأصناف'!A:G, 7, FALSE), "")</f>
        <v>500</v>
      </c>
      <c r="G14" s="31" t="s">
        <v>88</v>
      </c>
    </row>
    <row r="15" spans="1:8" ht="22.8" customHeight="1" x14ac:dyDescent="0.3">
      <c r="A15" s="35">
        <v>46205</v>
      </c>
      <c r="B15" s="31"/>
      <c r="C15" s="34" t="s">
        <v>65</v>
      </c>
      <c r="D15" s="12" t="str">
        <f>IF(C15&lt;&gt;"", IFERROR(VLOOKUP(C15, 'ثوابت الأصناف'!A:C, 2, FALSE) &amp; " - " &amp; VLOOKUP(C15, 'ثوابت الأصناف'!A:C, 3, FALSE), ""), "")</f>
        <v>المشبك - نوع واحد</v>
      </c>
      <c r="E15" s="13">
        <v>490</v>
      </c>
      <c r="F15" s="32">
        <f>IF(E15&gt;0, E15 * VLOOKUP(C15, 'ثوابت الأصناف'!A:G, 7, FALSE), "")</f>
        <v>700</v>
      </c>
      <c r="G15" s="31" t="s">
        <v>88</v>
      </c>
    </row>
    <row r="16" spans="1:8" ht="22.8" customHeight="1" x14ac:dyDescent="0.3">
      <c r="A16" s="35">
        <v>46205</v>
      </c>
      <c r="B16" s="31"/>
      <c r="C16" s="34" t="s">
        <v>63</v>
      </c>
      <c r="D16" s="12" t="str">
        <f>IF(C16&lt;&gt;"", IFERROR(VLOOKUP(C16, 'ثوابت الأصناف'!A:C, 2, FALSE) &amp; " - " &amp; VLOOKUP(C16, 'ثوابت الأصناف'!A:C, 3, FALSE), ""), "")</f>
        <v>فواصل - 1.5 مللي</v>
      </c>
      <c r="E16" s="13">
        <v>150</v>
      </c>
      <c r="F16" s="32">
        <f>IF(E16&gt;0, E16 * VLOOKUP(C16, 'ثوابت الأصناف'!A:G, 7, FALSE), "")</f>
        <v>500</v>
      </c>
      <c r="G16" s="31" t="s">
        <v>89</v>
      </c>
    </row>
    <row r="17" spans="1:7" ht="22.8" customHeight="1" x14ac:dyDescent="0.3">
      <c r="A17" s="35">
        <v>46205</v>
      </c>
      <c r="B17" s="31"/>
      <c r="C17" s="34" t="s">
        <v>65</v>
      </c>
      <c r="D17" s="12" t="str">
        <f>IF(C17&lt;&gt;"", IFERROR(VLOOKUP(C17, 'ثوابت الأصناف'!A:C, 2, FALSE) &amp; " - " &amp; VLOOKUP(C17, 'ثوابت الأصناف'!A:C, 3, FALSE), ""), "")</f>
        <v>المشبك - نوع واحد</v>
      </c>
      <c r="E17" s="13">
        <v>262.5</v>
      </c>
      <c r="F17" s="32">
        <f>IF(E17&gt;0, E17 * VLOOKUP(C17, 'ثوابت الأصناف'!A:G, 7, FALSE), "")</f>
        <v>375</v>
      </c>
      <c r="G17" s="31" t="s">
        <v>89</v>
      </c>
    </row>
    <row r="18" spans="1:7" ht="22.8" customHeight="1" x14ac:dyDescent="0.3">
      <c r="A18" s="35">
        <v>46205</v>
      </c>
      <c r="B18" s="31"/>
      <c r="C18" s="34" t="s">
        <v>62</v>
      </c>
      <c r="D18" s="12" t="str">
        <f>IF(C18&lt;&gt;"", IFERROR(VLOOKUP(C18, 'ثوابت الأصناف'!A:C, 2, FALSE) &amp; " - " &amp; VLOOKUP(C18, 'ثوابت الأصناف'!A:C, 3, FALSE), ""), "")</f>
        <v>فواصل - 1 مللي</v>
      </c>
      <c r="E18" s="13">
        <v>45</v>
      </c>
      <c r="F18" s="32">
        <f>IF(E18&gt;0, E18 * VLOOKUP(C18, 'ثوابت الأصناف'!A:G, 7, FALSE), "")</f>
        <v>150</v>
      </c>
      <c r="G18" s="31" t="s">
        <v>90</v>
      </c>
    </row>
    <row r="19" spans="1:7" ht="22.8" customHeight="1" x14ac:dyDescent="0.3">
      <c r="A19" s="35">
        <v>46205</v>
      </c>
      <c r="B19" s="31"/>
      <c r="C19" s="34" t="s">
        <v>63</v>
      </c>
      <c r="D19" s="12" t="str">
        <f>IF(C19&lt;&gt;"", IFERROR(VLOOKUP(C19, 'ثوابت الأصناف'!A:C, 2, FALSE) &amp; " - " &amp; VLOOKUP(C19, 'ثوابت الأصناف'!A:C, 3, FALSE), ""), "")</f>
        <v>فواصل - 1.5 مللي</v>
      </c>
      <c r="E19" s="13">
        <v>30</v>
      </c>
      <c r="F19" s="32">
        <f>IF(E19&gt;0, E19 * VLOOKUP(C19, 'ثوابت الأصناف'!A:G, 7, FALSE), "")</f>
        <v>100</v>
      </c>
      <c r="G19" s="31" t="s">
        <v>90</v>
      </c>
    </row>
    <row r="20" spans="1:7" ht="22.8" customHeight="1" x14ac:dyDescent="0.3">
      <c r="A20" s="35">
        <v>46205</v>
      </c>
      <c r="B20" s="31"/>
      <c r="C20" s="34" t="s">
        <v>64</v>
      </c>
      <c r="D20" s="12" t="str">
        <f>IF(C20&lt;&gt;"", IFERROR(VLOOKUP(C20, 'ثوابت الأصناف'!A:C, 2, FALSE) &amp; " - " &amp; VLOOKUP(C20, 'ثوابت الأصناف'!A:C, 3, FALSE), ""), "")</f>
        <v>فواصل - 2 مللي</v>
      </c>
      <c r="E20" s="13">
        <v>15</v>
      </c>
      <c r="F20" s="32">
        <f>IF(E20&gt;0, E20 * VLOOKUP(C20, 'ثوابت الأصناف'!A:G, 7, FALSE), "")</f>
        <v>50</v>
      </c>
      <c r="G20" s="31" t="s">
        <v>90</v>
      </c>
    </row>
    <row r="21" spans="1:7" ht="22.8" customHeight="1" x14ac:dyDescent="0.3">
      <c r="A21" s="35">
        <v>46205</v>
      </c>
      <c r="B21" s="31"/>
      <c r="C21" s="34" t="s">
        <v>65</v>
      </c>
      <c r="D21" s="12" t="str">
        <f>IF(C21&lt;&gt;"", IFERROR(VLOOKUP(C21, 'ثوابت الأصناف'!A:C, 2, FALSE) &amp; " - " &amp; VLOOKUP(C21, 'ثوابت الأصناف'!A:C, 3, FALSE), ""), "")</f>
        <v>المشبك - نوع واحد</v>
      </c>
      <c r="E21" s="13">
        <v>70</v>
      </c>
      <c r="F21" s="32">
        <f>IF(E21&gt;0, E21 * VLOOKUP(C21, 'ثوابت الأصناف'!A:G, 7, FALSE), "")</f>
        <v>100</v>
      </c>
      <c r="G21" s="31" t="s">
        <v>90</v>
      </c>
    </row>
    <row r="22" spans="1:7" ht="22.8" customHeight="1" x14ac:dyDescent="0.3">
      <c r="A22" s="35">
        <v>46205</v>
      </c>
      <c r="B22" s="31"/>
      <c r="C22" s="34" t="s">
        <v>64</v>
      </c>
      <c r="D22" s="12" t="str">
        <f>IF(C22&lt;&gt;"", IFERROR(VLOOKUP(C22, 'ثوابت الأصناف'!A:C, 2, FALSE) &amp; " - " &amp; VLOOKUP(C22, 'ثوابت الأصناف'!A:C, 3, FALSE), ""), "")</f>
        <v>فواصل - 2 مللي</v>
      </c>
      <c r="E22" s="13">
        <v>30</v>
      </c>
      <c r="F22" s="32">
        <f>IF(E22&gt;0, E22 * VLOOKUP(C22, 'ثوابت الأصناف'!A:G, 7, FALSE), "")</f>
        <v>100</v>
      </c>
      <c r="G22" s="31" t="s">
        <v>91</v>
      </c>
    </row>
    <row r="23" spans="1:7" ht="22.8" customHeight="1" x14ac:dyDescent="0.3">
      <c r="A23" s="35">
        <v>46205</v>
      </c>
      <c r="B23" s="31"/>
      <c r="C23" s="34" t="s">
        <v>65</v>
      </c>
      <c r="D23" s="12" t="str">
        <f>IF(C23&lt;&gt;"", IFERROR(VLOOKUP(C23, 'ثوابت الأصناف'!A:C, 2, FALSE) &amp; " - " &amp; VLOOKUP(C23, 'ثوابت الأصناف'!A:C, 3, FALSE), ""), "")</f>
        <v>المشبك - نوع واحد</v>
      </c>
      <c r="E23" s="13">
        <v>35</v>
      </c>
      <c r="F23" s="32">
        <f>IF(E23&gt;0, E23 * VLOOKUP(C23, 'ثوابت الأصناف'!A:G, 7, FALSE), "")</f>
        <v>50</v>
      </c>
      <c r="G23" s="31" t="s">
        <v>91</v>
      </c>
    </row>
    <row r="24" spans="1:7" ht="22.8" customHeight="1" x14ac:dyDescent="0.3">
      <c r="A24" s="35">
        <v>46205</v>
      </c>
      <c r="B24" s="31"/>
      <c r="C24" s="34" t="s">
        <v>65</v>
      </c>
      <c r="D24" s="12" t="str">
        <f>IF(C24&lt;&gt;"", IFERROR(VLOOKUP(C24, 'ثوابت الأصناف'!A:C, 2, FALSE) &amp; " - " &amp; VLOOKUP(C24, 'ثوابت الأصناف'!A:C, 3, FALSE), ""), "")</f>
        <v>المشبك - نوع واحد</v>
      </c>
      <c r="E24" s="13">
        <v>70</v>
      </c>
      <c r="F24" s="32">
        <f>IF(E24&gt;0, E24 * VLOOKUP(C24, 'ثوابت الأصناف'!A:G, 7, FALSE), "")</f>
        <v>100</v>
      </c>
      <c r="G24" s="31" t="s">
        <v>92</v>
      </c>
    </row>
    <row r="25" spans="1:7" ht="22.8" customHeight="1" x14ac:dyDescent="0.3">
      <c r="A25" s="35">
        <v>46205</v>
      </c>
      <c r="B25" s="31"/>
      <c r="C25" s="34" t="s">
        <v>63</v>
      </c>
      <c r="D25" s="12" t="str">
        <f>IF(C25&lt;&gt;"", IFERROR(VLOOKUP(C25, 'ثوابت الأصناف'!A:C, 2, FALSE) &amp; " - " &amp; VLOOKUP(C25, 'ثوابت الأصناف'!A:C, 3, FALSE), ""), "")</f>
        <v>فواصل - 1.5 مللي</v>
      </c>
      <c r="E25" s="13">
        <v>120</v>
      </c>
      <c r="F25" s="32">
        <f>IF(E25&gt;0, E25 * VLOOKUP(C25, 'ثوابت الأصناف'!A:G, 7, FALSE), "")</f>
        <v>400</v>
      </c>
      <c r="G25" s="31" t="s">
        <v>92</v>
      </c>
    </row>
    <row r="26" spans="1:7" ht="22.8" customHeight="1" x14ac:dyDescent="0.3">
      <c r="A26" s="31"/>
      <c r="B26" s="31"/>
      <c r="C26" s="31"/>
      <c r="D26" s="12" t="str">
        <f>IF(C26&lt;&gt;"", IFERROR(VLOOKUP(C26, 'ثوابت الأصناف'!A:C, 2, FALSE) &amp; " - " &amp; VLOOKUP(C26, 'ثوابت الأصناف'!A:C, 3, FALSE), ""), "")</f>
        <v/>
      </c>
      <c r="E26" s="13"/>
      <c r="F26" s="32" t="str">
        <f>IF(E26&gt;0, E26 * VLOOKUP(C26, 'ثوابت الأصناف'!A:G, 7, FALSE), "")</f>
        <v/>
      </c>
      <c r="G26" s="31"/>
    </row>
    <row r="27" spans="1:7" ht="22.8" customHeight="1" x14ac:dyDescent="0.3">
      <c r="A27" s="31"/>
      <c r="B27" s="31"/>
      <c r="C27" s="31"/>
      <c r="D27" s="12" t="str">
        <f>IF(C27&lt;&gt;"", IFERROR(VLOOKUP(C27, 'ثوابت الأصناف'!A:C, 2, FALSE) &amp; " - " &amp; VLOOKUP(C27, 'ثوابت الأصناف'!A:C, 3, FALSE), ""), "")</f>
        <v/>
      </c>
      <c r="E27" s="13"/>
      <c r="F27" s="32" t="str">
        <f>IF(E27&gt;0, E27 * VLOOKUP(C27, 'ثوابت الأصناف'!A:G, 7, FALSE), "")</f>
        <v/>
      </c>
      <c r="G27" s="31"/>
    </row>
    <row r="28" spans="1:7" ht="22.8" customHeight="1" x14ac:dyDescent="0.3">
      <c r="A28" s="31"/>
      <c r="B28" s="31"/>
      <c r="C28" s="31"/>
      <c r="D28" s="12" t="str">
        <f>IF(C28&lt;&gt;"", IFERROR(VLOOKUP(C28, 'ثوابت الأصناف'!A:C, 2, FALSE) &amp; " - " &amp; VLOOKUP(C28, 'ثوابت الأصناف'!A:C, 3, FALSE), ""), "")</f>
        <v/>
      </c>
      <c r="E28" s="13"/>
      <c r="F28" s="32" t="str">
        <f>IF(E28&gt;0, E28 * VLOOKUP(C28, 'ثوابت الأصناف'!A:G, 7, FALSE), "")</f>
        <v/>
      </c>
      <c r="G28" s="31"/>
    </row>
    <row r="29" spans="1:7" ht="22.8" customHeight="1" x14ac:dyDescent="0.3">
      <c r="A29" s="31"/>
      <c r="B29" s="31"/>
      <c r="C29" s="31"/>
      <c r="D29" s="12" t="str">
        <f>IF(C29&lt;&gt;"", IFERROR(VLOOKUP(C29, 'ثوابت الأصناف'!A:C, 2, FALSE) &amp; " - " &amp; VLOOKUP(C29, 'ثوابت الأصناف'!A:C, 3, FALSE), ""), "")</f>
        <v/>
      </c>
      <c r="E29" s="13"/>
      <c r="F29" s="32" t="str">
        <f>IF(E29&gt;0, E29 * VLOOKUP(C29, 'ثوابت الأصناف'!A:G, 7, FALSE), "")</f>
        <v/>
      </c>
      <c r="G29" s="31"/>
    </row>
    <row r="30" spans="1:7" ht="22.8" customHeight="1" x14ac:dyDescent="0.3">
      <c r="A30" s="31"/>
      <c r="B30" s="31"/>
      <c r="C30" s="31"/>
      <c r="D30" s="12" t="str">
        <f>IF(C30&lt;&gt;"", IFERROR(VLOOKUP(C30, 'ثوابت الأصناف'!A:C, 2, FALSE) &amp; " - " &amp; VLOOKUP(C30, 'ثوابت الأصناف'!A:C, 3, FALSE), ""), "")</f>
        <v/>
      </c>
      <c r="E30" s="13"/>
      <c r="F30" s="32" t="str">
        <f>IF(E30&gt;0, E30 * VLOOKUP(C30, 'ثوابت الأصناف'!A:G, 7, FALSE), "")</f>
        <v/>
      </c>
      <c r="G30" s="31"/>
    </row>
    <row r="31" spans="1:7" ht="22.8" customHeight="1" x14ac:dyDescent="0.3">
      <c r="A31" s="31"/>
      <c r="B31" s="31"/>
      <c r="C31" s="31"/>
      <c r="D31" s="12" t="str">
        <f>IF(C31&lt;&gt;"", IFERROR(VLOOKUP(C31, 'ثوابت الأصناف'!A:C, 2, FALSE) &amp; " - " &amp; VLOOKUP(C31, 'ثوابت الأصناف'!A:C, 3, FALSE), ""), "")</f>
        <v/>
      </c>
      <c r="E31" s="13"/>
      <c r="F31" s="32" t="str">
        <f>IF(E31&gt;0, E31 * VLOOKUP(C31, 'ثوابت الأصناف'!A:G, 7, FALSE), "")</f>
        <v/>
      </c>
      <c r="G31" s="31"/>
    </row>
    <row r="32" spans="1:7" ht="22.8" customHeight="1" x14ac:dyDescent="0.3">
      <c r="A32" s="31"/>
      <c r="B32" s="31"/>
      <c r="C32" s="31"/>
      <c r="D32" s="12" t="str">
        <f>IF(C32&lt;&gt;"", IFERROR(VLOOKUP(C32, 'ثوابت الأصناف'!A:C, 2, FALSE) &amp; " - " &amp; VLOOKUP(C32, 'ثوابت الأصناف'!A:C, 3, FALSE), ""), "")</f>
        <v/>
      </c>
      <c r="E32" s="13"/>
      <c r="F32" s="32" t="str">
        <f>IF(E32&gt;0, E32 * VLOOKUP(C32, 'ثوابت الأصناف'!A:G, 7, FALSE), "")</f>
        <v/>
      </c>
      <c r="G32" s="31"/>
    </row>
    <row r="33" spans="1:7" ht="22.8" customHeight="1" x14ac:dyDescent="0.3">
      <c r="A33" s="31"/>
      <c r="B33" s="31"/>
      <c r="C33" s="31"/>
      <c r="D33" s="12" t="str">
        <f>IF(C33&lt;&gt;"", IFERROR(VLOOKUP(C33, 'ثوابت الأصناف'!A:C, 2, FALSE) &amp; " - " &amp; VLOOKUP(C33, 'ثوابت الأصناف'!A:C, 3, FALSE), ""), "")</f>
        <v/>
      </c>
      <c r="E33" s="13"/>
      <c r="F33" s="32" t="str">
        <f>IF(E33&gt;0, E33 * VLOOKUP(C33, 'ثوابت الأصناف'!A:G, 7, FALSE), "")</f>
        <v/>
      </c>
      <c r="G33" s="31"/>
    </row>
    <row r="34" spans="1:7" ht="22.8" customHeight="1" x14ac:dyDescent="0.3">
      <c r="A34" s="31"/>
      <c r="B34" s="31"/>
      <c r="C34" s="31"/>
      <c r="D34" s="12" t="str">
        <f>IF(C34&lt;&gt;"", IFERROR(VLOOKUP(C34, 'ثوابت الأصناف'!A:C, 2, FALSE) &amp; " - " &amp; VLOOKUP(C34, 'ثوابت الأصناف'!A:C, 3, FALSE), ""), "")</f>
        <v/>
      </c>
      <c r="E34" s="13"/>
      <c r="F34" s="32" t="str">
        <f>IF(E34&gt;0, E34 * VLOOKUP(C34, 'ثوابت الأصناف'!A:G, 7, FALSE), "")</f>
        <v/>
      </c>
      <c r="G34" s="31"/>
    </row>
    <row r="35" spans="1:7" ht="22.8" customHeight="1" x14ac:dyDescent="0.3">
      <c r="A35" s="31"/>
      <c r="B35" s="31"/>
      <c r="C35" s="31"/>
      <c r="D35" s="12" t="str">
        <f>IF(C35&lt;&gt;"", IFERROR(VLOOKUP(C35, 'ثوابت الأصناف'!A:C, 2, FALSE) &amp; " - " &amp; VLOOKUP(C35, 'ثوابت الأصناف'!A:C, 3, FALSE), ""), "")</f>
        <v/>
      </c>
      <c r="E35" s="13"/>
      <c r="F35" s="32" t="str">
        <f>IF(E35&gt;0, E35 * VLOOKUP(C35, 'ثوابت الأصناف'!A:G, 7, FALSE), "")</f>
        <v/>
      </c>
      <c r="G35" s="31"/>
    </row>
    <row r="36" spans="1:7" ht="22.8" customHeight="1" x14ac:dyDescent="0.3">
      <c r="A36" s="31"/>
      <c r="B36" s="31"/>
      <c r="C36" s="31"/>
      <c r="D36" s="12" t="str">
        <f>IF(C36&lt;&gt;"", IFERROR(VLOOKUP(C36, 'ثوابت الأصناف'!A:C, 2, FALSE) &amp; " - " &amp; VLOOKUP(C36, 'ثوابت الأصناف'!A:C, 3, FALSE), ""), "")</f>
        <v/>
      </c>
      <c r="E36" s="13"/>
      <c r="F36" s="32" t="str">
        <f>IF(E36&gt;0, E36 * VLOOKUP(C36, 'ثوابت الأصناف'!A:G, 7, FALSE), "")</f>
        <v/>
      </c>
      <c r="G36" s="31"/>
    </row>
    <row r="37" spans="1:7" ht="22.8" customHeight="1" x14ac:dyDescent="0.3">
      <c r="A37" s="31"/>
      <c r="B37" s="31"/>
      <c r="C37" s="31"/>
      <c r="D37" s="12" t="str">
        <f>IF(C37&lt;&gt;"", IFERROR(VLOOKUP(C37, 'ثوابت الأصناف'!A:C, 2, FALSE) &amp; " - " &amp; VLOOKUP(C37, 'ثوابت الأصناف'!A:C, 3, FALSE), ""), "")</f>
        <v/>
      </c>
      <c r="E37" s="13"/>
      <c r="F37" s="32" t="str">
        <f>IF(E37&gt;0, E37 * VLOOKUP(C37, 'ثوابت الأصناف'!A:G, 7, FALSE), "")</f>
        <v/>
      </c>
      <c r="G37" s="31"/>
    </row>
    <row r="38" spans="1:7" ht="22.8" customHeight="1" x14ac:dyDescent="0.3">
      <c r="A38" s="31"/>
      <c r="B38" s="31"/>
      <c r="C38" s="31"/>
      <c r="D38" s="12" t="str">
        <f>IF(C38&lt;&gt;"", IFERROR(VLOOKUP(C38, 'ثوابت الأصناف'!A:C, 2, FALSE) &amp; " - " &amp; VLOOKUP(C38, 'ثوابت الأصناف'!A:C, 3, FALSE), ""), "")</f>
        <v/>
      </c>
      <c r="E38" s="13"/>
      <c r="F38" s="32" t="str">
        <f>IF(E38&gt;0, E38 * VLOOKUP(C38, 'ثوابت الأصناف'!A:G, 7, FALSE), "")</f>
        <v/>
      </c>
      <c r="G38" s="31"/>
    </row>
    <row r="39" spans="1:7" ht="22.8" customHeight="1" x14ac:dyDescent="0.3">
      <c r="A39" s="5"/>
      <c r="B39" s="5"/>
      <c r="C39" s="5"/>
      <c r="D39" s="5"/>
      <c r="E39" s="5"/>
      <c r="F39" s="5"/>
      <c r="G39" s="5"/>
    </row>
    <row r="40" spans="1:7" ht="22.8" customHeight="1" x14ac:dyDescent="0.3">
      <c r="A40" s="5"/>
      <c r="B40" s="5"/>
      <c r="C40" s="5"/>
      <c r="D40" s="5"/>
      <c r="E40" s="5"/>
      <c r="F40" s="5"/>
      <c r="G40" s="5"/>
    </row>
    <row r="41" spans="1:7" ht="22.8" customHeight="1" x14ac:dyDescent="0.3">
      <c r="A41" s="5"/>
      <c r="B41" s="5"/>
      <c r="C41" s="5"/>
      <c r="D41" s="5"/>
      <c r="E41" s="5"/>
      <c r="F41" s="5"/>
      <c r="G41" s="5"/>
    </row>
    <row r="42" spans="1:7" ht="22.8" customHeight="1" x14ac:dyDescent="0.3">
      <c r="A42" s="5"/>
      <c r="B42" s="5"/>
      <c r="C42" s="5"/>
      <c r="D42" s="5"/>
      <c r="E42" s="5"/>
      <c r="F42" s="5"/>
      <c r="G42" s="5"/>
    </row>
    <row r="43" spans="1:7" ht="22.8" customHeight="1" x14ac:dyDescent="0.3">
      <c r="A43" s="5"/>
      <c r="B43" s="5"/>
      <c r="C43" s="5"/>
      <c r="D43" s="5"/>
      <c r="E43" s="5"/>
      <c r="F43" s="5"/>
      <c r="G43" s="5"/>
    </row>
    <row r="44" spans="1:7" ht="22.8" customHeight="1" x14ac:dyDescent="0.3">
      <c r="A44" s="5"/>
      <c r="B44" s="5"/>
      <c r="C44" s="5"/>
      <c r="D44" s="5"/>
      <c r="E44" s="5"/>
      <c r="F44" s="5"/>
      <c r="G44" s="5"/>
    </row>
    <row r="45" spans="1:7" ht="22.8" customHeight="1" x14ac:dyDescent="0.3">
      <c r="A45" s="5"/>
      <c r="B45" s="5"/>
      <c r="C45" s="5"/>
      <c r="D45" s="5"/>
      <c r="E45" s="5"/>
      <c r="F45" s="5"/>
      <c r="G45" s="5"/>
    </row>
    <row r="46" spans="1:7" ht="22.8" customHeight="1" x14ac:dyDescent="0.3">
      <c r="A46" s="5"/>
      <c r="B46" s="5"/>
      <c r="C46" s="5"/>
      <c r="D46" s="5"/>
      <c r="E46" s="5"/>
      <c r="F46" s="5"/>
      <c r="G46" s="5"/>
    </row>
    <row r="47" spans="1:7" ht="22.8" customHeight="1" x14ac:dyDescent="0.3">
      <c r="A47" s="5"/>
      <c r="B47" s="5"/>
      <c r="C47" s="5"/>
      <c r="D47" s="5"/>
      <c r="E47" s="5"/>
      <c r="F47" s="5"/>
      <c r="G47" s="5"/>
    </row>
    <row r="48" spans="1:7" ht="22.8" customHeight="1" x14ac:dyDescent="0.3">
      <c r="A48" s="5"/>
      <c r="B48" s="5"/>
      <c r="C48" s="5"/>
      <c r="D48" s="5"/>
      <c r="E48" s="5"/>
      <c r="F48" s="5"/>
      <c r="G48" s="5"/>
    </row>
    <row r="49" spans="1:7" ht="22.8" customHeight="1" x14ac:dyDescent="0.3">
      <c r="A49" s="5"/>
      <c r="B49" s="5"/>
      <c r="C49" s="5"/>
      <c r="D49" s="5"/>
      <c r="E49" s="5"/>
      <c r="F49" s="5"/>
      <c r="G49" s="5"/>
    </row>
  </sheetData>
  <mergeCells count="1">
    <mergeCell ref="A1:G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ثوابت الأصناف</vt:lpstr>
      <vt:lpstr>التقرير العام (الرصيد)</vt:lpstr>
      <vt:lpstr>حركة الوارد (الإضافة)</vt:lpstr>
      <vt:lpstr>حركة المنصرف (الصرف)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2026-06-28T09:17:39Z</dcterms:created>
  <dcterms:modified xsi:type="dcterms:W3CDTF">2026-07-06T07:59:52Z</dcterms:modified>
</cp:coreProperties>
</file>