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ACCOUNTANT $$$$$$\M&amp;R\"/>
    </mc:Choice>
  </mc:AlternateContent>
  <xr:revisionPtr revIDLastSave="0" documentId="13_ncr:1_{9EAFC8A8-5DB4-443F-96B0-2308DB14422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التقرير العام" sheetId="1" r:id="rId1"/>
    <sheet name="العميل 1 (مشبك)" sheetId="2" r:id="rId2"/>
    <sheet name="العميل 2 (فاصل)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C4" i="2"/>
  <c r="E4" i="2"/>
  <c r="H4" i="2"/>
  <c r="G4" i="2"/>
  <c r="M19" i="2"/>
  <c r="M20" i="2" s="1"/>
  <c r="M21" i="2" s="1"/>
  <c r="M22" i="2" s="1"/>
  <c r="M23" i="2" s="1"/>
  <c r="M24" i="2" s="1"/>
  <c r="M25" i="2" s="1"/>
  <c r="M26" i="2" s="1"/>
  <c r="M27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G18" i="2"/>
  <c r="J18" i="2"/>
  <c r="M18" i="2" s="1"/>
  <c r="L18" i="2"/>
  <c r="D4" i="2" l="1"/>
  <c r="J4" i="2"/>
  <c r="G26" i="2"/>
  <c r="J26" i="2"/>
  <c r="G27" i="2"/>
  <c r="J27" i="2"/>
  <c r="J28" i="2"/>
  <c r="M28" i="2" s="1"/>
  <c r="G29" i="2"/>
  <c r="J29" i="2"/>
  <c r="G30" i="2"/>
  <c r="J30" i="2"/>
  <c r="G31" i="2"/>
  <c r="J31" i="2"/>
  <c r="G32" i="2"/>
  <c r="J32" i="2"/>
  <c r="G33" i="2"/>
  <c r="J33" i="2"/>
  <c r="G34" i="2"/>
  <c r="J34" i="2"/>
  <c r="G35" i="2"/>
  <c r="J35" i="2"/>
  <c r="G36" i="2"/>
  <c r="J36" i="2"/>
  <c r="G37" i="2"/>
  <c r="J37" i="2"/>
  <c r="G38" i="2"/>
  <c r="J38" i="2"/>
  <c r="G39" i="2"/>
  <c r="J39" i="2"/>
  <c r="G40" i="2"/>
  <c r="J40" i="2"/>
  <c r="G41" i="2"/>
  <c r="J41" i="2"/>
  <c r="G42" i="2"/>
  <c r="J42" i="2"/>
  <c r="G43" i="2"/>
  <c r="J43" i="2"/>
  <c r="G44" i="2"/>
  <c r="J44" i="2"/>
  <c r="G45" i="2"/>
  <c r="J45" i="2"/>
  <c r="G46" i="2"/>
  <c r="J46" i="2"/>
  <c r="G47" i="2"/>
  <c r="J47" i="2"/>
  <c r="G48" i="2"/>
  <c r="J48" i="2"/>
  <c r="G49" i="2"/>
  <c r="J49" i="2"/>
  <c r="G50" i="2"/>
  <c r="J50" i="2"/>
  <c r="G51" i="2"/>
  <c r="J51" i="2"/>
  <c r="G8" i="2"/>
  <c r="M29" i="2" l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D5" i="1"/>
  <c r="J8" i="3"/>
  <c r="M8" i="3"/>
  <c r="J9" i="3"/>
  <c r="M9" i="3"/>
  <c r="J10" i="3"/>
  <c r="M10" i="3"/>
  <c r="J11" i="3"/>
  <c r="M11" i="3" s="1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L8" i="3"/>
  <c r="L9" i="3"/>
  <c r="L10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F4" i="3"/>
  <c r="H4" i="3"/>
  <c r="G6" i="1" s="1"/>
  <c r="A4" i="3"/>
  <c r="C6" i="1" s="1"/>
  <c r="C4" i="3"/>
  <c r="D6" i="1" s="1"/>
  <c r="J8" i="2"/>
  <c r="M8" i="2" s="1"/>
  <c r="M9" i="2" s="1"/>
  <c r="M10" i="2" s="1"/>
  <c r="M11" i="2" s="1"/>
  <c r="M12" i="2" s="1"/>
  <c r="M13" i="2" s="1"/>
  <c r="M14" i="2" s="1"/>
  <c r="M15" i="2" s="1"/>
  <c r="J9" i="2"/>
  <c r="J10" i="2"/>
  <c r="J11" i="2"/>
  <c r="J12" i="2"/>
  <c r="J13" i="2"/>
  <c r="J14" i="2"/>
  <c r="J15" i="2"/>
  <c r="J16" i="2"/>
  <c r="J17" i="2"/>
  <c r="J19" i="2"/>
  <c r="J20" i="2"/>
  <c r="J21" i="2"/>
  <c r="J22" i="2"/>
  <c r="J23" i="2"/>
  <c r="J24" i="2"/>
  <c r="J25" i="2"/>
  <c r="L8" i="2"/>
  <c r="L9" i="2" s="1"/>
  <c r="L10" i="2" s="1"/>
  <c r="L11" i="2" s="1"/>
  <c r="L12" i="2" s="1"/>
  <c r="L13" i="2" s="1"/>
  <c r="L14" i="2" s="1"/>
  <c r="L15" i="2" s="1"/>
  <c r="L16" i="2" s="1"/>
  <c r="L17" i="2" s="1"/>
  <c r="G25" i="2"/>
  <c r="G24" i="2"/>
  <c r="G23" i="2"/>
  <c r="G22" i="2"/>
  <c r="G21" i="2"/>
  <c r="G20" i="2"/>
  <c r="G19" i="2"/>
  <c r="G17" i="2"/>
  <c r="G16" i="2"/>
  <c r="G15" i="2"/>
  <c r="G14" i="2"/>
  <c r="G13" i="2"/>
  <c r="G12" i="2"/>
  <c r="G11" i="2"/>
  <c r="G10" i="2"/>
  <c r="G9" i="2"/>
  <c r="G5" i="1"/>
  <c r="C5" i="1"/>
  <c r="J4" i="3" l="1"/>
  <c r="H6" i="1" s="1"/>
  <c r="M12" i="3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F6" i="1"/>
  <c r="D4" i="3"/>
  <c r="E6" i="1" s="1"/>
  <c r="F5" i="1"/>
  <c r="F15" i="1" s="1"/>
  <c r="C15" i="1"/>
  <c r="D15" i="1"/>
  <c r="G15" i="1"/>
  <c r="M16" i="2"/>
  <c r="M17" i="2" s="1"/>
  <c r="E5" i="1"/>
  <c r="E15" i="1" l="1"/>
  <c r="H5" i="1"/>
  <c r="H15" i="1" s="1"/>
</calcChain>
</file>

<file path=xl/sharedStrings.xml><?xml version="1.0" encoding="utf-8"?>
<sst xmlns="http://schemas.openxmlformats.org/spreadsheetml/2006/main" count="181" uniqueCount="58">
  <si>
    <t>نظام إدارة التصنيع للغير المالي واللوجستي - شركة RTX للبلاستيك</t>
  </si>
  <si>
    <t>م</t>
  </si>
  <si>
    <t>اسم العميل</t>
  </si>
  <si>
    <t>إجمالي الخامات المرسلة (كجم)</t>
  </si>
  <si>
    <t>إجمالي المنتجات المستلمة (كجم)</t>
  </si>
  <si>
    <t>رصيد الخامات المتبقي (كجم)</t>
  </si>
  <si>
    <t>إجمالي عمولة التصنيع (جنية)</t>
  </si>
  <si>
    <t>إجمالي الدفعات المسددة (جنية)</t>
  </si>
  <si>
    <t>الرصيد المالي المتبقي للمصنع (جنية)</t>
  </si>
  <si>
    <t>محمد ممدوح (مشبك)</t>
  </si>
  <si>
    <t>محمد ممدوح (فاصل)</t>
  </si>
  <si>
    <t>العميل 3</t>
  </si>
  <si>
    <t>العميل 4</t>
  </si>
  <si>
    <t>العميل 5</t>
  </si>
  <si>
    <t>العميل 6</t>
  </si>
  <si>
    <t>العميل 7</t>
  </si>
  <si>
    <t>العميل 8</t>
  </si>
  <si>
    <t>العميل 9</t>
  </si>
  <si>
    <t>العميل 10</t>
  </si>
  <si>
    <t>الإجماليات</t>
  </si>
  <si>
    <t>حساب كشف حركة: محمد ممدوح (منتج: مشبك - وزن 7 جرام - كيس 100 قطعة)</t>
  </si>
  <si>
    <t>إجمالي خامات مرسلة</t>
  </si>
  <si>
    <t>إجمالي منتج مستلم (كجم)</t>
  </si>
  <si>
    <t>متبقي خامات بالمصنع</t>
  </si>
  <si>
    <t>عدد الأكياس المستلمة</t>
  </si>
  <si>
    <t>إجمالي العمولات</t>
  </si>
  <si>
    <t>إجمالي المدفوعات</t>
  </si>
  <si>
    <t>رصيد مالي للمصنع</t>
  </si>
  <si>
    <t>رقم الإذن</t>
  </si>
  <si>
    <t>التاريخ</t>
  </si>
  <si>
    <t>البيان / تفاصيل الحركة</t>
  </si>
  <si>
    <t>تسليم خامات (كجم)</t>
  </si>
  <si>
    <t>نوع الصنف</t>
  </si>
  <si>
    <t>الوزن التلقائي (جرام)</t>
  </si>
  <si>
    <t>الكمية الفرعية (بالعدد)</t>
  </si>
  <si>
    <t>استلام منتج (كجم)</t>
  </si>
  <si>
    <t>سعر التصنيع / كجم</t>
  </si>
  <si>
    <t>عمولة مستحقة (جنية)</t>
  </si>
  <si>
    <t>دفعات مسددة (جنية)</t>
  </si>
  <si>
    <t>رصيد الخامات التراكمي</t>
  </si>
  <si>
    <t>الرصيد المالي التراكمي</t>
  </si>
  <si>
    <t>2026-06-19</t>
  </si>
  <si>
    <t>سبيكال مخرز</t>
  </si>
  <si>
    <t>مشبك</t>
  </si>
  <si>
    <t>2026-06-20</t>
  </si>
  <si>
    <t>2026-06-21</t>
  </si>
  <si>
    <t>2026-06-22</t>
  </si>
  <si>
    <t>2026-06-23</t>
  </si>
  <si>
    <t>2026-06-24</t>
  </si>
  <si>
    <t>حساب كشف حركة: محمد ممدوح (منتج: فاصل - وزن 3 جرام)</t>
  </si>
  <si>
    <t>بيور 60-80</t>
  </si>
  <si>
    <t>فاصل</t>
  </si>
  <si>
    <t>فاصل 1 مللي</t>
  </si>
  <si>
    <t>2026-06-27</t>
  </si>
  <si>
    <t>ء</t>
  </si>
  <si>
    <t>دفعه نقدي</t>
  </si>
  <si>
    <t>بواقي</t>
  </si>
  <si>
    <t xml:space="preserve">ريسايكل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</si>
</sst>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Segoe UI"/>
      <family val="2"/>
    </font>
    <font>
      <b/>
      <sz val="10"/>
      <name val="Segoe UI"/>
      <family val="2"/>
    </font>
    <font>
      <b/>
      <sz val="11"/>
      <name val="Segoe UI"/>
      <family val="2"/>
    </font>
    <font>
      <b/>
      <sz val="12"/>
      <name val="Segoe UI"/>
      <family val="2"/>
    </font>
    <font>
      <b/>
      <sz val="18"/>
      <color rgb="FFFFFFFF"/>
      <name val="Segoe UI"/>
      <family val="2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B365D"/>
      <name val="Segoe UI"/>
      <family val="2"/>
    </font>
    <font>
      <b/>
      <sz val="12"/>
      <color rgb="FFFFFFFF"/>
      <name val="Segoe UI"/>
      <family val="2"/>
    </font>
    <font>
      <b/>
      <sz val="12"/>
      <color theme="1"/>
      <name val="Calibri"/>
      <family val="2"/>
      <scheme val="minor"/>
    </font>
    <font>
      <b/>
      <sz val="14"/>
      <name val="Segoe UI"/>
      <family val="2"/>
    </font>
    <font>
      <b/>
      <sz val="14"/>
      <color rgb="FFFF0000"/>
      <name val="Segoe UI"/>
      <family val="2"/>
    </font>
    <font>
      <b/>
      <sz val="11"/>
      <color rgb="FFFF0000"/>
      <name val="Segoe UI"/>
      <family val="2"/>
    </font>
    <font>
      <b/>
      <sz val="12"/>
      <color rgb="FFFF0000"/>
      <name val="Segoe UI"/>
      <family val="2"/>
    </font>
    <font>
      <sz val="14"/>
      <color theme="1"/>
      <name val="Calibri"/>
      <family val="2"/>
      <scheme val="minor"/>
    </font>
    <font>
      <b/>
      <sz val="11"/>
      <color rgb="FF1B365D"/>
      <name val="Segoe UI"/>
      <family val="2"/>
    </font>
    <font>
      <b/>
      <i/>
      <sz val="14"/>
      <color rgb="FFFFFFFF"/>
      <name val="Segoe UI"/>
      <family val="2"/>
    </font>
    <font>
      <i/>
      <sz val="11"/>
      <color theme="1"/>
      <name val="Calibri"/>
      <family val="2"/>
      <scheme val="minor"/>
    </font>
    <font>
      <b/>
      <sz val="10"/>
      <color rgb="FFFF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F0F4F8"/>
        <bgColor rgb="FFF0F4F8"/>
      </patternFill>
    </fill>
    <fill>
      <patternFill patternType="solid">
        <fgColor rgb="FFE2E8F0"/>
        <bgColor rgb="FFE2E8F0"/>
      </patternFill>
    </fill>
    <fill>
      <patternFill patternType="solid">
        <fgColor theme="3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1D5DB"/>
      </bottom>
      <diagonal/>
    </border>
    <border>
      <left style="medium">
        <color indexed="64"/>
      </left>
      <right style="medium">
        <color indexed="64"/>
      </right>
      <top style="thin">
        <color rgb="FFD1D5DB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medium">
        <color indexed="64"/>
      </right>
      <top style="thin">
        <color rgb="FFD1D5DB"/>
      </top>
      <bottom style="thin">
        <color rgb="FFD1D5DB"/>
      </bottom>
      <diagonal/>
    </border>
    <border>
      <left style="medium">
        <color indexed="64"/>
      </left>
      <right style="thin">
        <color rgb="FFD1D5DB"/>
      </right>
      <top style="thin">
        <color rgb="FFD1D5DB"/>
      </top>
      <bottom style="medium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indexed="64"/>
      </bottom>
      <diagonal/>
    </border>
    <border>
      <left style="thin">
        <color rgb="FFD1D5DB"/>
      </left>
      <right style="medium">
        <color indexed="64"/>
      </right>
      <top style="thin">
        <color rgb="FFD1D5DB"/>
      </top>
      <bottom style="medium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0" fillId="0" borderId="0" xfId="0" applyFont="1"/>
    <xf numFmtId="0" fontId="0" fillId="0" borderId="8" xfId="0" applyBorder="1"/>
    <xf numFmtId="0" fontId="0" fillId="0" borderId="9" xfId="0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3" fontId="6" fillId="3" borderId="13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right" vertical="center"/>
    </xf>
    <xf numFmtId="3" fontId="6" fillId="3" borderId="15" xfId="0" applyNumberFormat="1" applyFont="1" applyFill="1" applyBorder="1" applyAlignment="1">
      <alignment horizontal="center" vertical="center" wrapText="1"/>
    </xf>
    <xf numFmtId="3" fontId="6" fillId="3" borderId="16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3" fontId="7" fillId="5" borderId="7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 wrapText="1"/>
    </xf>
    <xf numFmtId="3" fontId="15" fillId="3" borderId="1" xfId="0" applyNumberFormat="1" applyFont="1" applyFill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3" fontId="16" fillId="3" borderId="1" xfId="0" applyNumberFormat="1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3" fontId="17" fillId="3" borderId="1" xfId="0" applyNumberFormat="1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3" fontId="6" fillId="3" borderId="17" xfId="0" applyNumberFormat="1" applyFont="1" applyFill="1" applyBorder="1" applyAlignment="1">
      <alignment horizontal="center" vertical="center" wrapText="1"/>
    </xf>
    <xf numFmtId="3" fontId="17" fillId="3" borderId="17" xfId="0" applyNumberFormat="1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/>
    </xf>
    <xf numFmtId="3" fontId="6" fillId="4" borderId="19" xfId="0" applyNumberFormat="1" applyFont="1" applyFill="1" applyBorder="1" applyAlignment="1">
      <alignment horizontal="center" vertical="center" wrapText="1"/>
    </xf>
    <xf numFmtId="3" fontId="17" fillId="4" borderId="19" xfId="0" applyNumberFormat="1" applyFont="1" applyFill="1" applyBorder="1" applyAlignment="1">
      <alignment horizontal="center" vertical="center" wrapText="1"/>
    </xf>
    <xf numFmtId="3" fontId="6" fillId="4" borderId="20" xfId="0" applyNumberFormat="1" applyFont="1" applyFill="1" applyBorder="1" applyAlignment="1">
      <alignment horizontal="center" vertical="center" wrapText="1"/>
    </xf>
    <xf numFmtId="3" fontId="18" fillId="3" borderId="1" xfId="0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3" fontId="15" fillId="5" borderId="7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20" fillId="4" borderId="6" xfId="0" applyFont="1" applyFill="1" applyBorder="1" applyAlignment="1">
      <alignment horizontal="center" vertical="center" wrapText="1"/>
    </xf>
    <xf numFmtId="0" fontId="2" fillId="0" borderId="0" xfId="0" applyFont="1"/>
    <xf numFmtId="14" fontId="7" fillId="3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6" borderId="0" xfId="0" applyFont="1" applyFill="1"/>
    <xf numFmtId="0" fontId="21" fillId="2" borderId="0" xfId="0" applyFont="1" applyFill="1" applyAlignment="1">
      <alignment horizontal="center" vertical="center" wrapText="1"/>
    </xf>
    <xf numFmtId="0" fontId="22" fillId="0" borderId="0" xfId="0" applyFont="1"/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 wrapText="1"/>
    </xf>
    <xf numFmtId="3" fontId="15" fillId="5" borderId="5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3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3" fontId="5" fillId="5" borderId="4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23" fillId="5" borderId="8" xfId="0" applyNumberFormat="1" applyFont="1" applyFill="1" applyBorder="1" applyAlignment="1">
      <alignment horizontal="center" vertical="center" wrapText="1"/>
    </xf>
    <xf numFmtId="3" fontId="23" fillId="5" borderId="9" xfId="0" applyNumberFormat="1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3" fontId="5" fillId="5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65D"/>
  </sheetPr>
  <dimension ref="A1:H15"/>
  <sheetViews>
    <sheetView rightToLeft="1" tabSelected="1" workbookViewId="0">
      <selection sqref="A1:H15"/>
    </sheetView>
  </sheetViews>
  <sheetFormatPr defaultRowHeight="14.4" x14ac:dyDescent="0.3"/>
  <cols>
    <col min="1" max="1" width="5.21875" customWidth="1"/>
    <col min="2" max="2" width="27.5546875" customWidth="1"/>
    <col min="3" max="3" width="28.44140625" customWidth="1"/>
    <col min="4" max="4" width="25" customWidth="1"/>
    <col min="5" max="5" width="24.33203125" customWidth="1"/>
    <col min="6" max="6" width="24.109375" customWidth="1"/>
    <col min="7" max="7" width="27" customWidth="1"/>
    <col min="8" max="8" width="29.109375" customWidth="1"/>
  </cols>
  <sheetData>
    <row r="1" spans="1:8" x14ac:dyDescent="0.3">
      <c r="A1" s="62" t="s">
        <v>0</v>
      </c>
      <c r="B1" s="63"/>
      <c r="C1" s="63"/>
      <c r="D1" s="63"/>
      <c r="E1" s="63"/>
      <c r="F1" s="63"/>
      <c r="G1" s="63"/>
      <c r="H1" s="63"/>
    </row>
    <row r="2" spans="1:8" ht="43.2" customHeight="1" x14ac:dyDescent="0.3">
      <c r="A2" s="63"/>
      <c r="B2" s="63"/>
      <c r="C2" s="63"/>
      <c r="D2" s="63"/>
      <c r="E2" s="63"/>
      <c r="F2" s="63"/>
      <c r="G2" s="63"/>
      <c r="H2" s="63"/>
    </row>
    <row r="3" spans="1:8" ht="8.4" customHeight="1" x14ac:dyDescent="0.3"/>
    <row r="4" spans="1:8" ht="39.6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s="9" customFormat="1" ht="45.6" customHeight="1" x14ac:dyDescent="0.3">
      <c r="A5" s="2">
        <v>1</v>
      </c>
      <c r="B5" s="15" t="s">
        <v>9</v>
      </c>
      <c r="C5" s="39">
        <f>'العميل 1 (مشبك)'!A4</f>
        <v>8989</v>
      </c>
      <c r="D5" s="39">
        <f>'العميل 1 (مشبك)'!C4</f>
        <v>6687</v>
      </c>
      <c r="E5" s="39">
        <f>'العميل 1 (مشبك)'!D4</f>
        <v>2302</v>
      </c>
      <c r="F5" s="39">
        <f>'العميل 1 (مشبك)'!G4</f>
        <v>73557</v>
      </c>
      <c r="G5" s="41">
        <f>'العميل 1 (مشبك)'!H4</f>
        <v>66000</v>
      </c>
      <c r="H5" s="39">
        <f>'العميل 1 (مشبك)'!J4</f>
        <v>7557</v>
      </c>
    </row>
    <row r="6" spans="1:8" s="9" customFormat="1" ht="45.6" customHeight="1" x14ac:dyDescent="0.3">
      <c r="A6" s="5">
        <v>2</v>
      </c>
      <c r="B6" s="12" t="s">
        <v>10</v>
      </c>
      <c r="C6" s="40">
        <f>'العميل 2 (فاصل)'!A4</f>
        <v>418</v>
      </c>
      <c r="D6" s="40">
        <f>'العميل 2 (فاصل)'!C4</f>
        <v>418</v>
      </c>
      <c r="E6" s="40">
        <f>'العميل 2 (فاصل)'!D4</f>
        <v>0</v>
      </c>
      <c r="F6" s="40">
        <f>'العميل 2 (فاصل)'!F4</f>
        <v>7106</v>
      </c>
      <c r="G6" s="42">
        <f>'العميل 2 (فاصل)'!H4</f>
        <v>0</v>
      </c>
      <c r="H6" s="40">
        <f>'العميل 2 (فاصل)'!J4</f>
        <v>7106</v>
      </c>
    </row>
    <row r="7" spans="1:8" s="9" customFormat="1" ht="32.4" customHeight="1" x14ac:dyDescent="0.3">
      <c r="A7" s="2">
        <v>3</v>
      </c>
      <c r="B7" s="8" t="s">
        <v>11</v>
      </c>
      <c r="C7" s="4">
        <v>0</v>
      </c>
      <c r="D7" s="4">
        <v>0</v>
      </c>
      <c r="E7" s="4">
        <v>0</v>
      </c>
      <c r="F7" s="4">
        <v>0</v>
      </c>
      <c r="G7" s="43">
        <v>0</v>
      </c>
      <c r="H7" s="4">
        <v>0</v>
      </c>
    </row>
    <row r="8" spans="1:8" s="9" customFormat="1" ht="32.4" customHeight="1" x14ac:dyDescent="0.3">
      <c r="A8" s="5">
        <v>4</v>
      </c>
      <c r="B8" s="10" t="s">
        <v>12</v>
      </c>
      <c r="C8" s="7">
        <v>0</v>
      </c>
      <c r="D8" s="7">
        <v>0</v>
      </c>
      <c r="E8" s="7">
        <v>0</v>
      </c>
      <c r="F8" s="7">
        <v>0</v>
      </c>
      <c r="G8" s="44">
        <v>0</v>
      </c>
      <c r="H8" s="7">
        <v>0</v>
      </c>
    </row>
    <row r="9" spans="1:8" s="9" customFormat="1" ht="32.4" customHeight="1" x14ac:dyDescent="0.3">
      <c r="A9" s="2">
        <v>5</v>
      </c>
      <c r="B9" s="8" t="s">
        <v>13</v>
      </c>
      <c r="C9" s="4">
        <v>0</v>
      </c>
      <c r="D9" s="4">
        <v>0</v>
      </c>
      <c r="E9" s="4">
        <v>0</v>
      </c>
      <c r="F9" s="4">
        <v>0</v>
      </c>
      <c r="G9" s="43">
        <v>0</v>
      </c>
      <c r="H9" s="4">
        <v>0</v>
      </c>
    </row>
    <row r="10" spans="1:8" s="9" customFormat="1" ht="32.4" customHeight="1" x14ac:dyDescent="0.3">
      <c r="A10" s="5">
        <v>6</v>
      </c>
      <c r="B10" s="10" t="s">
        <v>14</v>
      </c>
      <c r="C10" s="7">
        <v>0</v>
      </c>
      <c r="D10" s="7">
        <v>0</v>
      </c>
      <c r="E10" s="7">
        <v>0</v>
      </c>
      <c r="F10" s="7">
        <v>0</v>
      </c>
      <c r="G10" s="44">
        <v>0</v>
      </c>
      <c r="H10" s="7">
        <v>0</v>
      </c>
    </row>
    <row r="11" spans="1:8" s="9" customFormat="1" ht="32.4" customHeight="1" x14ac:dyDescent="0.3">
      <c r="A11" s="2">
        <v>7</v>
      </c>
      <c r="B11" s="8" t="s">
        <v>15</v>
      </c>
      <c r="C11" s="4">
        <v>0</v>
      </c>
      <c r="D11" s="4">
        <v>0</v>
      </c>
      <c r="E11" s="4">
        <v>0</v>
      </c>
      <c r="F11" s="4">
        <v>0</v>
      </c>
      <c r="G11" s="43">
        <v>0</v>
      </c>
      <c r="H11" s="4">
        <v>0</v>
      </c>
    </row>
    <row r="12" spans="1:8" s="9" customFormat="1" ht="32.4" customHeight="1" x14ac:dyDescent="0.3">
      <c r="A12" s="5">
        <v>8</v>
      </c>
      <c r="B12" s="10" t="s">
        <v>16</v>
      </c>
      <c r="C12" s="7">
        <v>0</v>
      </c>
      <c r="D12" s="7">
        <v>0</v>
      </c>
      <c r="E12" s="7">
        <v>0</v>
      </c>
      <c r="F12" s="7">
        <v>0</v>
      </c>
      <c r="G12" s="44">
        <v>0</v>
      </c>
      <c r="H12" s="7">
        <v>0</v>
      </c>
    </row>
    <row r="13" spans="1:8" s="9" customFormat="1" ht="32.4" customHeight="1" x14ac:dyDescent="0.3">
      <c r="A13" s="2">
        <v>9</v>
      </c>
      <c r="B13" s="8" t="s">
        <v>17</v>
      </c>
      <c r="C13" s="4">
        <v>0</v>
      </c>
      <c r="D13" s="4">
        <v>0</v>
      </c>
      <c r="E13" s="4">
        <v>0</v>
      </c>
      <c r="F13" s="4">
        <v>0</v>
      </c>
      <c r="G13" s="43">
        <v>0</v>
      </c>
      <c r="H13" s="4">
        <v>0</v>
      </c>
    </row>
    <row r="14" spans="1:8" s="9" customFormat="1" ht="32.4" customHeight="1" thickBot="1" x14ac:dyDescent="0.35">
      <c r="A14" s="5">
        <v>10</v>
      </c>
      <c r="B14" s="45" t="s">
        <v>18</v>
      </c>
      <c r="C14" s="46">
        <v>0</v>
      </c>
      <c r="D14" s="46">
        <v>0</v>
      </c>
      <c r="E14" s="46">
        <v>0</v>
      </c>
      <c r="F14" s="46">
        <v>0</v>
      </c>
      <c r="G14" s="47">
        <v>0</v>
      </c>
      <c r="H14" s="46">
        <v>0</v>
      </c>
    </row>
    <row r="15" spans="1:8" s="9" customFormat="1" ht="32.4" customHeight="1" thickBot="1" x14ac:dyDescent="0.35">
      <c r="B15" s="48" t="s">
        <v>19</v>
      </c>
      <c r="C15" s="49">
        <f t="shared" ref="C15:H15" si="0">SUM(C5:C14)</f>
        <v>9407</v>
      </c>
      <c r="D15" s="49">
        <f t="shared" si="0"/>
        <v>7105</v>
      </c>
      <c r="E15" s="49">
        <f t="shared" si="0"/>
        <v>2302</v>
      </c>
      <c r="F15" s="49">
        <f t="shared" si="0"/>
        <v>80663</v>
      </c>
      <c r="G15" s="50">
        <f t="shared" si="0"/>
        <v>66000</v>
      </c>
      <c r="H15" s="51">
        <f t="shared" si="0"/>
        <v>14663</v>
      </c>
    </row>
  </sheetData>
  <mergeCells count="1">
    <mergeCell ref="A1:H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90E2"/>
  </sheetPr>
  <dimension ref="A1:M51"/>
  <sheetViews>
    <sheetView rightToLeft="1" zoomScale="90" zoomScaleNormal="90" workbookViewId="0">
      <selection sqref="A1:M34"/>
    </sheetView>
  </sheetViews>
  <sheetFormatPr defaultRowHeight="14.4" x14ac:dyDescent="0.3"/>
  <cols>
    <col min="1" max="1" width="7.33203125" customWidth="1"/>
    <col min="2" max="2" width="14" customWidth="1"/>
    <col min="3" max="3" width="26" customWidth="1"/>
    <col min="4" max="4" width="21.88671875" customWidth="1"/>
    <col min="5" max="5" width="13" customWidth="1"/>
    <col min="6" max="6" width="15.88671875" customWidth="1"/>
    <col min="7" max="7" width="17" customWidth="1"/>
    <col min="8" max="8" width="13.33203125" customWidth="1"/>
    <col min="9" max="9" width="15.88671875" customWidth="1"/>
    <col min="10" max="10" width="16.109375" customWidth="1"/>
    <col min="11" max="11" width="15.5546875" customWidth="1"/>
    <col min="12" max="12" width="12.109375" customWidth="1"/>
    <col min="13" max="13" width="16.21875" customWidth="1"/>
  </cols>
  <sheetData>
    <row r="1" spans="1:13" ht="43.2" customHeight="1" x14ac:dyDescent="0.3">
      <c r="A1" s="64" t="s">
        <v>20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6" customHeight="1" thickBot="1" x14ac:dyDescent="0.35"/>
    <row r="3" spans="1:13" s="54" customFormat="1" ht="24" customHeight="1" x14ac:dyDescent="0.3">
      <c r="A3" s="66" t="s">
        <v>21</v>
      </c>
      <c r="B3" s="67"/>
      <c r="C3" s="34" t="s">
        <v>22</v>
      </c>
      <c r="D3" s="34" t="s">
        <v>23</v>
      </c>
      <c r="E3" s="66" t="s">
        <v>24</v>
      </c>
      <c r="F3" s="67"/>
      <c r="G3" s="34" t="s">
        <v>25</v>
      </c>
      <c r="H3" s="66" t="s">
        <v>26</v>
      </c>
      <c r="I3" s="67"/>
      <c r="J3" s="66" t="s">
        <v>27</v>
      </c>
      <c r="K3" s="67"/>
      <c r="L3" s="54" t="s">
        <v>54</v>
      </c>
    </row>
    <row r="4" spans="1:13" s="56" customFormat="1" ht="23.4" customHeight="1" thickBot="1" x14ac:dyDescent="0.4">
      <c r="A4" s="68">
        <f>SUM(D8:D51)</f>
        <v>8989</v>
      </c>
      <c r="B4" s="69"/>
      <c r="C4" s="55">
        <f>SUM(H8:H51)</f>
        <v>6687</v>
      </c>
      <c r="D4" s="55">
        <f>A4-C4</f>
        <v>2302</v>
      </c>
      <c r="E4" s="68">
        <f>SUM(G8:G51)</f>
        <v>955285.71428571432</v>
      </c>
      <c r="F4" s="69"/>
      <c r="G4" s="55">
        <f>SUM(J8:J51)</f>
        <v>73557</v>
      </c>
      <c r="H4" s="68">
        <f>SUM(K8:K51)</f>
        <v>66000</v>
      </c>
      <c r="I4" s="69"/>
      <c r="J4" s="68">
        <f>G4-H4</f>
        <v>7557</v>
      </c>
      <c r="K4" s="69"/>
    </row>
    <row r="5" spans="1:13" ht="10.199999999999999" customHeight="1" x14ac:dyDescent="0.3"/>
    <row r="6" spans="1:13" ht="0.6" hidden="1" customHeight="1" x14ac:dyDescent="0.3"/>
    <row r="7" spans="1:13" ht="61.8" customHeight="1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 ht="32.4" customHeight="1" x14ac:dyDescent="0.3">
      <c r="A8" s="5">
        <v>1</v>
      </c>
      <c r="B8" s="11" t="s">
        <v>41</v>
      </c>
      <c r="C8" s="12" t="s">
        <v>42</v>
      </c>
      <c r="D8" s="13">
        <v>3319</v>
      </c>
      <c r="E8" s="12" t="s">
        <v>43</v>
      </c>
      <c r="F8" s="11">
        <v>7</v>
      </c>
      <c r="G8" s="11">
        <f>IF(H8&lt;&gt;"", (H8*1000)/F8, "")</f>
        <v>259571.42857142858</v>
      </c>
      <c r="H8" s="13">
        <v>1817</v>
      </c>
      <c r="I8" s="11">
        <v>11</v>
      </c>
      <c r="J8" s="13">
        <f t="shared" ref="J8:J25" si="0">IF(H8&lt;&gt;"", H8*I8, 0)</f>
        <v>19987</v>
      </c>
      <c r="K8" s="52"/>
      <c r="L8" s="13">
        <f>D8-IF(H8&lt;&gt;"",H8,0)</f>
        <v>1502</v>
      </c>
      <c r="M8" s="13">
        <f>J8-IF(K8&lt;&gt;"",K8,0)</f>
        <v>19987</v>
      </c>
    </row>
    <row r="9" spans="1:13" ht="32.4" customHeight="1" x14ac:dyDescent="0.3">
      <c r="A9" s="2">
        <v>2</v>
      </c>
      <c r="B9" s="14" t="s">
        <v>44</v>
      </c>
      <c r="C9" s="15" t="s">
        <v>42</v>
      </c>
      <c r="D9" s="16"/>
      <c r="E9" s="15" t="s">
        <v>43</v>
      </c>
      <c r="F9" s="14">
        <v>7</v>
      </c>
      <c r="G9" s="14">
        <f t="shared" ref="G9:G25" si="1">IF(H9&lt;&gt;"", (H9*1000)/F9, "")</f>
        <v>44857.142857142855</v>
      </c>
      <c r="H9" s="16">
        <v>314</v>
      </c>
      <c r="I9" s="14">
        <v>11</v>
      </c>
      <c r="J9" s="16">
        <f t="shared" si="0"/>
        <v>3454</v>
      </c>
      <c r="K9" s="53"/>
      <c r="L9" s="16">
        <f t="shared" ref="L9:L17" si="2">L8+IF(D9&lt;&gt;"",D9,0)-IF(H9&lt;&gt;"",H9,0)</f>
        <v>1188</v>
      </c>
      <c r="M9" s="16">
        <f t="shared" ref="M9:M17" si="3">M8+J9-IF(K9&lt;&gt;"",K9,0)</f>
        <v>23441</v>
      </c>
    </row>
    <row r="10" spans="1:13" ht="32.4" customHeight="1" x14ac:dyDescent="0.3">
      <c r="A10" s="5">
        <v>3</v>
      </c>
      <c r="B10" s="11" t="s">
        <v>45</v>
      </c>
      <c r="C10" s="12" t="s">
        <v>42</v>
      </c>
      <c r="D10" s="13"/>
      <c r="E10" s="12" t="s">
        <v>43</v>
      </c>
      <c r="F10" s="11">
        <v>7</v>
      </c>
      <c r="G10" s="11">
        <f t="shared" si="1"/>
        <v>32142.857142857141</v>
      </c>
      <c r="H10" s="13">
        <v>225</v>
      </c>
      <c r="I10" s="11">
        <v>11</v>
      </c>
      <c r="J10" s="13">
        <f t="shared" si="0"/>
        <v>2475</v>
      </c>
      <c r="K10" s="52"/>
      <c r="L10" s="13">
        <f t="shared" si="2"/>
        <v>963</v>
      </c>
      <c r="M10" s="13">
        <f t="shared" si="3"/>
        <v>25916</v>
      </c>
    </row>
    <row r="11" spans="1:13" ht="32.4" customHeight="1" x14ac:dyDescent="0.3">
      <c r="A11" s="2">
        <v>4</v>
      </c>
      <c r="B11" s="14" t="s">
        <v>46</v>
      </c>
      <c r="C11" s="15" t="s">
        <v>42</v>
      </c>
      <c r="D11" s="16">
        <v>2110</v>
      </c>
      <c r="E11" s="15" t="s">
        <v>43</v>
      </c>
      <c r="F11" s="14">
        <v>7</v>
      </c>
      <c r="G11" s="14" t="str">
        <f t="shared" si="1"/>
        <v/>
      </c>
      <c r="H11" s="16"/>
      <c r="I11" s="14">
        <v>11</v>
      </c>
      <c r="J11" s="16">
        <f t="shared" si="0"/>
        <v>0</v>
      </c>
      <c r="K11" s="53"/>
      <c r="L11" s="16">
        <f t="shared" si="2"/>
        <v>3073</v>
      </c>
      <c r="M11" s="16">
        <f t="shared" si="3"/>
        <v>25916</v>
      </c>
    </row>
    <row r="12" spans="1:13" ht="32.4" customHeight="1" x14ac:dyDescent="0.3">
      <c r="A12" s="5">
        <v>5</v>
      </c>
      <c r="B12" s="11" t="s">
        <v>46</v>
      </c>
      <c r="C12" s="12" t="s">
        <v>42</v>
      </c>
      <c r="D12" s="13"/>
      <c r="E12" s="12" t="s">
        <v>43</v>
      </c>
      <c r="F12" s="11">
        <v>7</v>
      </c>
      <c r="G12" s="11">
        <f t="shared" si="1"/>
        <v>30428.571428571428</v>
      </c>
      <c r="H12" s="13">
        <v>213</v>
      </c>
      <c r="I12" s="11">
        <v>11</v>
      </c>
      <c r="J12" s="13">
        <f t="shared" si="0"/>
        <v>2343</v>
      </c>
      <c r="K12" s="52"/>
      <c r="L12" s="13">
        <f t="shared" si="2"/>
        <v>2860</v>
      </c>
      <c r="M12" s="13">
        <f t="shared" si="3"/>
        <v>28259</v>
      </c>
    </row>
    <row r="13" spans="1:13" ht="32.4" customHeight="1" x14ac:dyDescent="0.3">
      <c r="A13" s="2">
        <v>6</v>
      </c>
      <c r="B13" s="14" t="s">
        <v>47</v>
      </c>
      <c r="C13" s="15" t="s">
        <v>42</v>
      </c>
      <c r="D13" s="16"/>
      <c r="E13" s="15" t="s">
        <v>43</v>
      </c>
      <c r="F13" s="14">
        <v>7</v>
      </c>
      <c r="G13" s="14">
        <f t="shared" si="1"/>
        <v>37857.142857142855</v>
      </c>
      <c r="H13" s="16">
        <v>265</v>
      </c>
      <c r="I13" s="14">
        <v>11</v>
      </c>
      <c r="J13" s="16">
        <f t="shared" si="0"/>
        <v>2915</v>
      </c>
      <c r="K13" s="53"/>
      <c r="L13" s="16">
        <f t="shared" si="2"/>
        <v>2595</v>
      </c>
      <c r="M13" s="16">
        <f t="shared" si="3"/>
        <v>31174</v>
      </c>
    </row>
    <row r="14" spans="1:13" ht="32.4" customHeight="1" x14ac:dyDescent="0.3">
      <c r="A14" s="5">
        <v>7</v>
      </c>
      <c r="B14" s="11" t="s">
        <v>48</v>
      </c>
      <c r="C14" s="12" t="s">
        <v>42</v>
      </c>
      <c r="D14" s="13"/>
      <c r="E14" s="12" t="s">
        <v>43</v>
      </c>
      <c r="F14" s="11">
        <v>7</v>
      </c>
      <c r="G14" s="11">
        <f t="shared" si="1"/>
        <v>9285.7142857142862</v>
      </c>
      <c r="H14" s="13">
        <v>65</v>
      </c>
      <c r="I14" s="11">
        <v>11</v>
      </c>
      <c r="J14" s="13">
        <f t="shared" si="0"/>
        <v>715</v>
      </c>
      <c r="K14" s="52"/>
      <c r="L14" s="13">
        <f t="shared" si="2"/>
        <v>2530</v>
      </c>
      <c r="M14" s="13">
        <f t="shared" si="3"/>
        <v>31889</v>
      </c>
    </row>
    <row r="15" spans="1:13" ht="32.4" customHeight="1" x14ac:dyDescent="0.3">
      <c r="A15" s="5">
        <v>8</v>
      </c>
      <c r="B15" s="17">
        <v>46200</v>
      </c>
      <c r="C15" s="12" t="s">
        <v>42</v>
      </c>
      <c r="D15" s="16"/>
      <c r="E15" s="15" t="s">
        <v>43</v>
      </c>
      <c r="F15" s="14">
        <v>7</v>
      </c>
      <c r="G15" s="14">
        <f t="shared" si="1"/>
        <v>56285.714285714283</v>
      </c>
      <c r="H15" s="16">
        <v>394</v>
      </c>
      <c r="I15" s="14">
        <v>11</v>
      </c>
      <c r="J15" s="16">
        <f t="shared" si="0"/>
        <v>4334</v>
      </c>
      <c r="K15" s="53"/>
      <c r="L15" s="16">
        <f t="shared" si="2"/>
        <v>2136</v>
      </c>
      <c r="M15" s="16">
        <f t="shared" si="3"/>
        <v>36223</v>
      </c>
    </row>
    <row r="16" spans="1:13" ht="32.4" customHeight="1" x14ac:dyDescent="0.3">
      <c r="A16" s="5">
        <v>9</v>
      </c>
      <c r="B16" s="17">
        <v>46202</v>
      </c>
      <c r="C16" s="12" t="s">
        <v>42</v>
      </c>
      <c r="D16" s="13"/>
      <c r="E16" s="12" t="s">
        <v>43</v>
      </c>
      <c r="F16" s="11">
        <v>7</v>
      </c>
      <c r="G16" s="11">
        <f t="shared" si="1"/>
        <v>22142.857142857141</v>
      </c>
      <c r="H16" s="13">
        <v>155</v>
      </c>
      <c r="I16" s="11">
        <v>11</v>
      </c>
      <c r="J16" s="13">
        <f t="shared" si="0"/>
        <v>1705</v>
      </c>
      <c r="K16" s="52"/>
      <c r="L16" s="13">
        <f t="shared" si="2"/>
        <v>1981</v>
      </c>
      <c r="M16" s="13">
        <f t="shared" si="3"/>
        <v>37928</v>
      </c>
    </row>
    <row r="17" spans="1:13" ht="32.4" customHeight="1" x14ac:dyDescent="0.3">
      <c r="A17" s="2">
        <v>10</v>
      </c>
      <c r="B17" s="17">
        <v>46203</v>
      </c>
      <c r="C17" s="12" t="s">
        <v>42</v>
      </c>
      <c r="D17" s="16"/>
      <c r="E17" s="15" t="s">
        <v>43</v>
      </c>
      <c r="F17" s="14">
        <v>7</v>
      </c>
      <c r="G17" s="14">
        <f t="shared" si="1"/>
        <v>43857.142857142855</v>
      </c>
      <c r="H17" s="16">
        <v>307</v>
      </c>
      <c r="I17" s="14">
        <v>11</v>
      </c>
      <c r="J17" s="16">
        <f t="shared" si="0"/>
        <v>3377</v>
      </c>
      <c r="K17" s="53"/>
      <c r="L17" s="16">
        <f t="shared" si="2"/>
        <v>1674</v>
      </c>
      <c r="M17" s="16">
        <f t="shared" si="3"/>
        <v>41305</v>
      </c>
    </row>
    <row r="18" spans="1:13" ht="32.4" customHeight="1" x14ac:dyDescent="0.3">
      <c r="A18" s="2">
        <v>11</v>
      </c>
      <c r="B18" s="17">
        <v>46204</v>
      </c>
      <c r="C18" s="12" t="s">
        <v>42</v>
      </c>
      <c r="D18" s="16">
        <v>2075</v>
      </c>
      <c r="E18" s="15"/>
      <c r="F18" s="14"/>
      <c r="G18" s="14" t="str">
        <f t="shared" ref="G18" si="4">IF(H18&lt;&gt;"", (H18*1000)/F18, "")</f>
        <v/>
      </c>
      <c r="H18" s="16"/>
      <c r="I18" s="14"/>
      <c r="J18" s="16">
        <f t="shared" ref="J18" si="5">IF(H18&lt;&gt;"", H18*I18, 0)</f>
        <v>0</v>
      </c>
      <c r="K18" s="53"/>
      <c r="L18" s="16">
        <f t="shared" ref="L18:L51" si="6">L17+IF(D18&lt;&gt;"",D18,0)-IF(H18&lt;&gt;"",H18,0)</f>
        <v>3749</v>
      </c>
      <c r="M18" s="16">
        <f t="shared" ref="M18:M51" si="7">M17+J18-IF(K18&lt;&gt;"",K18,0)</f>
        <v>41305</v>
      </c>
    </row>
    <row r="19" spans="1:13" s="54" customFormat="1" ht="33" customHeight="1" x14ac:dyDescent="0.3">
      <c r="A19" s="2">
        <v>11</v>
      </c>
      <c r="B19" s="59">
        <v>46203</v>
      </c>
      <c r="C19" s="12" t="s">
        <v>55</v>
      </c>
      <c r="D19" s="13"/>
      <c r="E19" s="12"/>
      <c r="F19" s="11"/>
      <c r="G19" s="11" t="str">
        <f t="shared" si="1"/>
        <v/>
      </c>
      <c r="H19" s="13"/>
      <c r="I19" s="11"/>
      <c r="J19" s="13">
        <f t="shared" si="0"/>
        <v>0</v>
      </c>
      <c r="K19" s="52">
        <v>20000</v>
      </c>
      <c r="L19" s="16">
        <f t="shared" si="6"/>
        <v>3749</v>
      </c>
      <c r="M19" s="16">
        <f t="shared" si="7"/>
        <v>21305</v>
      </c>
    </row>
    <row r="20" spans="1:13" s="54" customFormat="1" ht="33" customHeight="1" x14ac:dyDescent="0.3">
      <c r="A20" s="2">
        <v>12</v>
      </c>
      <c r="B20" s="17">
        <v>46204</v>
      </c>
      <c r="C20" s="12" t="s">
        <v>55</v>
      </c>
      <c r="D20" s="16"/>
      <c r="E20" s="15"/>
      <c r="F20" s="14"/>
      <c r="G20" s="14" t="str">
        <f t="shared" si="1"/>
        <v/>
      </c>
      <c r="H20" s="16"/>
      <c r="I20" s="14"/>
      <c r="J20" s="16">
        <f t="shared" si="0"/>
        <v>0</v>
      </c>
      <c r="K20" s="53">
        <v>15000</v>
      </c>
      <c r="L20" s="16">
        <f t="shared" si="6"/>
        <v>3749</v>
      </c>
      <c r="M20" s="16">
        <f t="shared" si="7"/>
        <v>6305</v>
      </c>
    </row>
    <row r="21" spans="1:13" s="54" customFormat="1" ht="33" customHeight="1" x14ac:dyDescent="0.3">
      <c r="A21" s="2">
        <v>13</v>
      </c>
      <c r="B21" s="59">
        <v>46204</v>
      </c>
      <c r="C21" s="12" t="s">
        <v>42</v>
      </c>
      <c r="D21" s="13"/>
      <c r="E21" s="12" t="s">
        <v>43</v>
      </c>
      <c r="F21" s="11">
        <v>7</v>
      </c>
      <c r="G21" s="11">
        <f t="shared" si="1"/>
        <v>26428.571428571428</v>
      </c>
      <c r="H21" s="13">
        <v>185</v>
      </c>
      <c r="I21" s="11">
        <v>11</v>
      </c>
      <c r="J21" s="13">
        <f t="shared" si="0"/>
        <v>2035</v>
      </c>
      <c r="K21" s="52"/>
      <c r="L21" s="16">
        <f t="shared" si="6"/>
        <v>3564</v>
      </c>
      <c r="M21" s="16">
        <f t="shared" si="7"/>
        <v>8340</v>
      </c>
    </row>
    <row r="22" spans="1:13" s="54" customFormat="1" ht="33" customHeight="1" x14ac:dyDescent="0.3">
      <c r="A22" s="2">
        <v>14</v>
      </c>
      <c r="B22" s="17">
        <v>46210</v>
      </c>
      <c r="C22" s="12" t="s">
        <v>42</v>
      </c>
      <c r="D22" s="16"/>
      <c r="E22" s="15" t="s">
        <v>43</v>
      </c>
      <c r="F22" s="14">
        <v>7</v>
      </c>
      <c r="G22" s="14">
        <f t="shared" si="1"/>
        <v>19857.142857142859</v>
      </c>
      <c r="H22" s="16">
        <v>139</v>
      </c>
      <c r="I22" s="14">
        <v>11</v>
      </c>
      <c r="J22" s="16">
        <f t="shared" si="0"/>
        <v>1529</v>
      </c>
      <c r="K22" s="53"/>
      <c r="L22" s="16">
        <f t="shared" si="6"/>
        <v>3425</v>
      </c>
      <c r="M22" s="16">
        <f t="shared" si="7"/>
        <v>9869</v>
      </c>
    </row>
    <row r="23" spans="1:13" s="54" customFormat="1" ht="33" customHeight="1" x14ac:dyDescent="0.3">
      <c r="A23" s="2">
        <v>15</v>
      </c>
      <c r="B23" s="17">
        <v>46210</v>
      </c>
      <c r="C23" s="12" t="s">
        <v>42</v>
      </c>
      <c r="D23" s="13"/>
      <c r="E23" s="12" t="s">
        <v>43</v>
      </c>
      <c r="F23" s="11">
        <v>7</v>
      </c>
      <c r="G23" s="11">
        <f t="shared" si="1"/>
        <v>32714.285714285714</v>
      </c>
      <c r="H23" s="13">
        <v>229</v>
      </c>
      <c r="I23" s="11">
        <v>11</v>
      </c>
      <c r="J23" s="13">
        <f t="shared" si="0"/>
        <v>2519</v>
      </c>
      <c r="K23" s="52"/>
      <c r="L23" s="16">
        <f t="shared" si="6"/>
        <v>3196</v>
      </c>
      <c r="M23" s="16">
        <f t="shared" si="7"/>
        <v>12388</v>
      </c>
    </row>
    <row r="24" spans="1:13" s="54" customFormat="1" ht="33" customHeight="1" x14ac:dyDescent="0.3">
      <c r="A24" s="2">
        <v>16</v>
      </c>
      <c r="B24" s="17">
        <v>46210</v>
      </c>
      <c r="C24" s="12" t="s">
        <v>42</v>
      </c>
      <c r="D24" s="16"/>
      <c r="E24" s="15" t="s">
        <v>43</v>
      </c>
      <c r="F24" s="14">
        <v>7</v>
      </c>
      <c r="G24" s="14">
        <f t="shared" si="1"/>
        <v>34857.142857142855</v>
      </c>
      <c r="H24" s="16">
        <v>244</v>
      </c>
      <c r="I24" s="14">
        <v>11</v>
      </c>
      <c r="J24" s="16">
        <f t="shared" si="0"/>
        <v>2684</v>
      </c>
      <c r="K24" s="53"/>
      <c r="L24" s="16">
        <f t="shared" si="6"/>
        <v>2952</v>
      </c>
      <c r="M24" s="16">
        <f t="shared" si="7"/>
        <v>15072</v>
      </c>
    </row>
    <row r="25" spans="1:13" s="54" customFormat="1" ht="33" customHeight="1" x14ac:dyDescent="0.3">
      <c r="A25" s="2">
        <v>17</v>
      </c>
      <c r="B25" s="17">
        <v>46210</v>
      </c>
      <c r="C25" s="12" t="s">
        <v>42</v>
      </c>
      <c r="D25" s="13"/>
      <c r="E25" s="12" t="s">
        <v>43</v>
      </c>
      <c r="F25" s="11">
        <v>7</v>
      </c>
      <c r="G25" s="11">
        <f t="shared" si="1"/>
        <v>51428.571428571428</v>
      </c>
      <c r="H25" s="13">
        <v>360</v>
      </c>
      <c r="I25" s="11">
        <v>11</v>
      </c>
      <c r="J25" s="13">
        <f t="shared" si="0"/>
        <v>3960</v>
      </c>
      <c r="K25" s="52"/>
      <c r="L25" s="16">
        <f t="shared" si="6"/>
        <v>2592</v>
      </c>
      <c r="M25" s="16">
        <f t="shared" si="7"/>
        <v>19032</v>
      </c>
    </row>
    <row r="26" spans="1:13" s="54" customFormat="1" ht="33" customHeight="1" x14ac:dyDescent="0.3">
      <c r="A26" s="2">
        <v>18</v>
      </c>
      <c r="B26" s="17">
        <v>46210</v>
      </c>
      <c r="C26" s="12" t="s">
        <v>42</v>
      </c>
      <c r="D26" s="13"/>
      <c r="E26" s="12" t="s">
        <v>43</v>
      </c>
      <c r="F26" s="11">
        <v>7</v>
      </c>
      <c r="G26" s="11">
        <f t="shared" ref="G26:G51" si="8">IF(H26&lt;&gt;"", (H26*1000)/F26, "")</f>
        <v>50142.857142857145</v>
      </c>
      <c r="H26" s="13">
        <v>351</v>
      </c>
      <c r="I26" s="11">
        <v>11</v>
      </c>
      <c r="J26" s="13">
        <f t="shared" ref="J26:J51" si="9">IF(H26&lt;&gt;"", H26*I26, 0)</f>
        <v>3861</v>
      </c>
      <c r="K26" s="52"/>
      <c r="L26" s="16">
        <f t="shared" si="6"/>
        <v>2241</v>
      </c>
      <c r="M26" s="16">
        <f t="shared" si="7"/>
        <v>22893</v>
      </c>
    </row>
    <row r="27" spans="1:13" s="54" customFormat="1" ht="33" customHeight="1" x14ac:dyDescent="0.3">
      <c r="A27" s="2">
        <v>19</v>
      </c>
      <c r="B27" s="17">
        <v>46210</v>
      </c>
      <c r="C27" s="12" t="s">
        <v>42</v>
      </c>
      <c r="D27" s="13"/>
      <c r="E27" s="12" t="s">
        <v>43</v>
      </c>
      <c r="F27" s="11">
        <v>7</v>
      </c>
      <c r="G27" s="11">
        <f t="shared" si="8"/>
        <v>66571.428571428565</v>
      </c>
      <c r="H27" s="13">
        <v>466</v>
      </c>
      <c r="I27" s="11">
        <v>11</v>
      </c>
      <c r="J27" s="13">
        <f t="shared" si="9"/>
        <v>5126</v>
      </c>
      <c r="K27" s="52"/>
      <c r="L27" s="16">
        <f t="shared" si="6"/>
        <v>1775</v>
      </c>
      <c r="M27" s="16">
        <f t="shared" si="7"/>
        <v>28019</v>
      </c>
    </row>
    <row r="28" spans="1:13" s="54" customFormat="1" ht="33" customHeight="1" x14ac:dyDescent="0.3">
      <c r="A28" s="2">
        <v>20</v>
      </c>
      <c r="B28" s="17">
        <v>46210</v>
      </c>
      <c r="C28" s="12" t="s">
        <v>55</v>
      </c>
      <c r="D28" s="13"/>
      <c r="E28" s="12"/>
      <c r="F28" s="11"/>
      <c r="G28" s="11"/>
      <c r="H28" s="13"/>
      <c r="I28" s="11"/>
      <c r="J28" s="13">
        <f t="shared" si="9"/>
        <v>0</v>
      </c>
      <c r="K28" s="52">
        <v>20000</v>
      </c>
      <c r="L28" s="16">
        <f t="shared" si="6"/>
        <v>1775</v>
      </c>
      <c r="M28" s="16">
        <f t="shared" si="7"/>
        <v>8019</v>
      </c>
    </row>
    <row r="29" spans="1:13" s="54" customFormat="1" ht="33" customHeight="1" x14ac:dyDescent="0.3">
      <c r="A29" s="2">
        <v>21</v>
      </c>
      <c r="B29" s="17">
        <v>46211</v>
      </c>
      <c r="C29" s="12" t="s">
        <v>42</v>
      </c>
      <c r="D29" s="13"/>
      <c r="E29" s="12" t="s">
        <v>43</v>
      </c>
      <c r="F29" s="11">
        <v>7</v>
      </c>
      <c r="G29" s="11">
        <f t="shared" si="8"/>
        <v>17000</v>
      </c>
      <c r="H29" s="13">
        <v>119</v>
      </c>
      <c r="I29" s="11">
        <v>11</v>
      </c>
      <c r="J29" s="13">
        <f t="shared" si="9"/>
        <v>1309</v>
      </c>
      <c r="K29" s="52"/>
      <c r="L29" s="16">
        <f t="shared" si="6"/>
        <v>1656</v>
      </c>
      <c r="M29" s="16">
        <f t="shared" si="7"/>
        <v>9328</v>
      </c>
    </row>
    <row r="30" spans="1:13" s="54" customFormat="1" ht="33" customHeight="1" x14ac:dyDescent="0.3">
      <c r="A30" s="2">
        <v>22</v>
      </c>
      <c r="B30" s="17">
        <v>46211</v>
      </c>
      <c r="C30" s="12" t="s">
        <v>42</v>
      </c>
      <c r="D30" s="13"/>
      <c r="E30" s="12" t="s">
        <v>43</v>
      </c>
      <c r="F30" s="11">
        <v>7</v>
      </c>
      <c r="G30" s="11">
        <f t="shared" si="8"/>
        <v>9142.8571428571431</v>
      </c>
      <c r="H30" s="13">
        <v>64</v>
      </c>
      <c r="I30" s="11">
        <v>11</v>
      </c>
      <c r="J30" s="13">
        <f t="shared" si="9"/>
        <v>704</v>
      </c>
      <c r="K30" s="52"/>
      <c r="L30" s="16">
        <f t="shared" si="6"/>
        <v>1592</v>
      </c>
      <c r="M30" s="16">
        <f t="shared" si="7"/>
        <v>10032</v>
      </c>
    </row>
    <row r="31" spans="1:13" s="54" customFormat="1" ht="33" customHeight="1" x14ac:dyDescent="0.3">
      <c r="A31" s="11">
        <v>23</v>
      </c>
      <c r="B31" s="59">
        <v>46214</v>
      </c>
      <c r="C31" s="12" t="s">
        <v>55</v>
      </c>
      <c r="D31" s="13"/>
      <c r="E31" s="12"/>
      <c r="F31" s="11"/>
      <c r="G31" s="11" t="str">
        <f t="shared" si="8"/>
        <v/>
      </c>
      <c r="H31" s="13"/>
      <c r="I31" s="11"/>
      <c r="J31" s="13">
        <f t="shared" si="9"/>
        <v>0</v>
      </c>
      <c r="K31" s="52">
        <v>11000</v>
      </c>
      <c r="L31" s="16">
        <f t="shared" si="6"/>
        <v>1592</v>
      </c>
      <c r="M31" s="16">
        <f t="shared" si="7"/>
        <v>-968</v>
      </c>
    </row>
    <row r="32" spans="1:13" s="54" customFormat="1" ht="33" customHeight="1" x14ac:dyDescent="0.3">
      <c r="A32" s="11">
        <v>24</v>
      </c>
      <c r="B32" s="59">
        <v>46217</v>
      </c>
      <c r="C32" s="12" t="s">
        <v>57</v>
      </c>
      <c r="D32" s="13">
        <v>1485</v>
      </c>
      <c r="E32" s="12" t="s">
        <v>43</v>
      </c>
      <c r="F32" s="11">
        <v>7</v>
      </c>
      <c r="G32" s="11" t="str">
        <f t="shared" si="8"/>
        <v/>
      </c>
      <c r="H32" s="13"/>
      <c r="I32" s="11"/>
      <c r="J32" s="13">
        <f t="shared" si="9"/>
        <v>0</v>
      </c>
      <c r="K32" s="52"/>
      <c r="L32" s="16">
        <f t="shared" si="6"/>
        <v>3077</v>
      </c>
      <c r="M32" s="16">
        <f t="shared" si="7"/>
        <v>-968</v>
      </c>
    </row>
    <row r="33" spans="1:13" s="54" customFormat="1" ht="33" customHeight="1" x14ac:dyDescent="0.3">
      <c r="A33" s="11">
        <v>25</v>
      </c>
      <c r="B33" s="59">
        <v>46218</v>
      </c>
      <c r="C33" s="12" t="s">
        <v>42</v>
      </c>
      <c r="D33" s="13"/>
      <c r="E33" s="12" t="s">
        <v>43</v>
      </c>
      <c r="F33" s="11">
        <v>7</v>
      </c>
      <c r="G33" s="11">
        <f t="shared" si="8"/>
        <v>72285.71428571429</v>
      </c>
      <c r="H33" s="13">
        <v>506</v>
      </c>
      <c r="I33" s="11">
        <v>11</v>
      </c>
      <c r="J33" s="13">
        <f t="shared" si="9"/>
        <v>5566</v>
      </c>
      <c r="K33" s="52"/>
      <c r="L33" s="16">
        <f t="shared" si="6"/>
        <v>2571</v>
      </c>
      <c r="M33" s="16">
        <f t="shared" si="7"/>
        <v>4598</v>
      </c>
    </row>
    <row r="34" spans="1:13" s="54" customFormat="1" ht="33" customHeight="1" x14ac:dyDescent="0.3">
      <c r="A34" s="11">
        <v>26</v>
      </c>
      <c r="B34" s="59">
        <v>46218</v>
      </c>
      <c r="C34" s="12" t="s">
        <v>42</v>
      </c>
      <c r="D34" s="13"/>
      <c r="E34" s="12" t="s">
        <v>43</v>
      </c>
      <c r="F34" s="11">
        <v>7</v>
      </c>
      <c r="G34" s="11">
        <f t="shared" si="8"/>
        <v>38428.571428571428</v>
      </c>
      <c r="H34" s="13">
        <v>269</v>
      </c>
      <c r="I34" s="11">
        <v>11</v>
      </c>
      <c r="J34" s="13">
        <f t="shared" si="9"/>
        <v>2959</v>
      </c>
      <c r="K34" s="52"/>
      <c r="L34" s="16">
        <f t="shared" si="6"/>
        <v>2302</v>
      </c>
      <c r="M34" s="16">
        <f t="shared" si="7"/>
        <v>7557</v>
      </c>
    </row>
    <row r="35" spans="1:13" s="54" customFormat="1" ht="33" customHeight="1" x14ac:dyDescent="0.3">
      <c r="A35" s="11"/>
      <c r="B35" s="11"/>
      <c r="C35" s="12" t="s">
        <v>42</v>
      </c>
      <c r="D35" s="13"/>
      <c r="E35" s="12" t="s">
        <v>43</v>
      </c>
      <c r="F35" s="11">
        <v>7</v>
      </c>
      <c r="G35" s="11" t="str">
        <f t="shared" si="8"/>
        <v/>
      </c>
      <c r="H35" s="13"/>
      <c r="I35" s="11">
        <v>11</v>
      </c>
      <c r="J35" s="13">
        <f t="shared" si="9"/>
        <v>0</v>
      </c>
      <c r="K35" s="52"/>
      <c r="L35" s="16">
        <f t="shared" si="6"/>
        <v>2302</v>
      </c>
      <c r="M35" s="16">
        <f t="shared" si="7"/>
        <v>7557</v>
      </c>
    </row>
    <row r="36" spans="1:13" s="54" customFormat="1" ht="33" customHeight="1" x14ac:dyDescent="0.3">
      <c r="A36" s="11"/>
      <c r="B36" s="11"/>
      <c r="C36" s="12" t="s">
        <v>42</v>
      </c>
      <c r="D36" s="13"/>
      <c r="E36" s="12" t="s">
        <v>43</v>
      </c>
      <c r="F36" s="11">
        <v>7</v>
      </c>
      <c r="G36" s="11" t="str">
        <f t="shared" si="8"/>
        <v/>
      </c>
      <c r="H36" s="13"/>
      <c r="I36" s="11">
        <v>11</v>
      </c>
      <c r="J36" s="13">
        <f t="shared" si="9"/>
        <v>0</v>
      </c>
      <c r="K36" s="52"/>
      <c r="L36" s="16">
        <f t="shared" si="6"/>
        <v>2302</v>
      </c>
      <c r="M36" s="16">
        <f t="shared" si="7"/>
        <v>7557</v>
      </c>
    </row>
    <row r="37" spans="1:13" s="54" customFormat="1" ht="33" customHeight="1" x14ac:dyDescent="0.3">
      <c r="A37" s="11"/>
      <c r="B37" s="11"/>
      <c r="C37" s="12" t="s">
        <v>42</v>
      </c>
      <c r="D37" s="13"/>
      <c r="E37" s="12" t="s">
        <v>43</v>
      </c>
      <c r="F37" s="11">
        <v>7</v>
      </c>
      <c r="G37" s="11" t="str">
        <f t="shared" si="8"/>
        <v/>
      </c>
      <c r="H37" s="13"/>
      <c r="I37" s="11">
        <v>11</v>
      </c>
      <c r="J37" s="13">
        <f t="shared" si="9"/>
        <v>0</v>
      </c>
      <c r="K37" s="52"/>
      <c r="L37" s="16">
        <f t="shared" si="6"/>
        <v>2302</v>
      </c>
      <c r="M37" s="16">
        <f t="shared" si="7"/>
        <v>7557</v>
      </c>
    </row>
    <row r="38" spans="1:13" s="54" customFormat="1" ht="33" customHeight="1" x14ac:dyDescent="0.3">
      <c r="A38" s="11"/>
      <c r="B38" s="11"/>
      <c r="C38" s="12" t="s">
        <v>42</v>
      </c>
      <c r="D38" s="13"/>
      <c r="E38" s="12" t="s">
        <v>43</v>
      </c>
      <c r="F38" s="11">
        <v>7</v>
      </c>
      <c r="G38" s="11" t="str">
        <f t="shared" si="8"/>
        <v/>
      </c>
      <c r="H38" s="13"/>
      <c r="I38" s="11">
        <v>11</v>
      </c>
      <c r="J38" s="13">
        <f t="shared" si="9"/>
        <v>0</v>
      </c>
      <c r="K38" s="52"/>
      <c r="L38" s="16">
        <f t="shared" si="6"/>
        <v>2302</v>
      </c>
      <c r="M38" s="16">
        <f t="shared" si="7"/>
        <v>7557</v>
      </c>
    </row>
    <row r="39" spans="1:13" s="54" customFormat="1" ht="33" customHeight="1" x14ac:dyDescent="0.3">
      <c r="A39" s="11"/>
      <c r="B39" s="11"/>
      <c r="C39" s="12" t="s">
        <v>42</v>
      </c>
      <c r="D39" s="13"/>
      <c r="E39" s="12" t="s">
        <v>43</v>
      </c>
      <c r="F39" s="11">
        <v>7</v>
      </c>
      <c r="G39" s="11" t="str">
        <f t="shared" si="8"/>
        <v/>
      </c>
      <c r="H39" s="13"/>
      <c r="I39" s="11">
        <v>11</v>
      </c>
      <c r="J39" s="13">
        <f t="shared" si="9"/>
        <v>0</v>
      </c>
      <c r="K39" s="52"/>
      <c r="L39" s="16">
        <f t="shared" si="6"/>
        <v>2302</v>
      </c>
      <c r="M39" s="16">
        <f t="shared" si="7"/>
        <v>7557</v>
      </c>
    </row>
    <row r="40" spans="1:13" s="54" customFormat="1" ht="33" customHeight="1" x14ac:dyDescent="0.3">
      <c r="A40" s="11"/>
      <c r="B40" s="11"/>
      <c r="C40" s="12" t="s">
        <v>42</v>
      </c>
      <c r="D40" s="13"/>
      <c r="E40" s="12" t="s">
        <v>43</v>
      </c>
      <c r="F40" s="11">
        <v>7</v>
      </c>
      <c r="G40" s="11" t="str">
        <f t="shared" si="8"/>
        <v/>
      </c>
      <c r="H40" s="13"/>
      <c r="I40" s="11">
        <v>11</v>
      </c>
      <c r="J40" s="13">
        <f t="shared" si="9"/>
        <v>0</v>
      </c>
      <c r="K40" s="52"/>
      <c r="L40" s="16">
        <f t="shared" si="6"/>
        <v>2302</v>
      </c>
      <c r="M40" s="16">
        <f t="shared" si="7"/>
        <v>7557</v>
      </c>
    </row>
    <row r="41" spans="1:13" s="54" customFormat="1" ht="33" customHeight="1" x14ac:dyDescent="0.3">
      <c r="A41" s="11"/>
      <c r="B41" s="11"/>
      <c r="C41" s="12" t="s">
        <v>42</v>
      </c>
      <c r="D41" s="13"/>
      <c r="E41" s="12" t="s">
        <v>43</v>
      </c>
      <c r="F41" s="11">
        <v>7</v>
      </c>
      <c r="G41" s="11" t="str">
        <f t="shared" si="8"/>
        <v/>
      </c>
      <c r="H41" s="13"/>
      <c r="I41" s="11">
        <v>11</v>
      </c>
      <c r="J41" s="13">
        <f t="shared" si="9"/>
        <v>0</v>
      </c>
      <c r="K41" s="52"/>
      <c r="L41" s="16">
        <f t="shared" si="6"/>
        <v>2302</v>
      </c>
      <c r="M41" s="16">
        <f t="shared" si="7"/>
        <v>7557</v>
      </c>
    </row>
    <row r="42" spans="1:13" s="54" customFormat="1" ht="33" customHeight="1" x14ac:dyDescent="0.3">
      <c r="A42" s="11"/>
      <c r="B42" s="11"/>
      <c r="C42" s="12" t="s">
        <v>42</v>
      </c>
      <c r="D42" s="13"/>
      <c r="E42" s="12" t="s">
        <v>43</v>
      </c>
      <c r="F42" s="11">
        <v>7</v>
      </c>
      <c r="G42" s="11" t="str">
        <f t="shared" si="8"/>
        <v/>
      </c>
      <c r="H42" s="13"/>
      <c r="I42" s="11">
        <v>11</v>
      </c>
      <c r="J42" s="13">
        <f t="shared" si="9"/>
        <v>0</v>
      </c>
      <c r="K42" s="52"/>
      <c r="L42" s="16">
        <f t="shared" si="6"/>
        <v>2302</v>
      </c>
      <c r="M42" s="16">
        <f t="shared" si="7"/>
        <v>7557</v>
      </c>
    </row>
    <row r="43" spans="1:13" s="54" customFormat="1" ht="33" customHeight="1" x14ac:dyDescent="0.3">
      <c r="A43" s="11"/>
      <c r="B43" s="11"/>
      <c r="C43" s="12" t="s">
        <v>42</v>
      </c>
      <c r="D43" s="13"/>
      <c r="E43" s="12" t="s">
        <v>43</v>
      </c>
      <c r="F43" s="11">
        <v>7</v>
      </c>
      <c r="G43" s="11" t="str">
        <f t="shared" si="8"/>
        <v/>
      </c>
      <c r="H43" s="13"/>
      <c r="I43" s="11">
        <v>11</v>
      </c>
      <c r="J43" s="13">
        <f t="shared" si="9"/>
        <v>0</v>
      </c>
      <c r="K43" s="52"/>
      <c r="L43" s="16">
        <f t="shared" si="6"/>
        <v>2302</v>
      </c>
      <c r="M43" s="16">
        <f t="shared" si="7"/>
        <v>7557</v>
      </c>
    </row>
    <row r="44" spans="1:13" s="54" customFormat="1" ht="33" customHeight="1" x14ac:dyDescent="0.3">
      <c r="A44" s="11"/>
      <c r="B44" s="11"/>
      <c r="C44" s="12" t="s">
        <v>42</v>
      </c>
      <c r="D44" s="13"/>
      <c r="E44" s="12" t="s">
        <v>43</v>
      </c>
      <c r="F44" s="11">
        <v>7</v>
      </c>
      <c r="G44" s="11" t="str">
        <f t="shared" si="8"/>
        <v/>
      </c>
      <c r="H44" s="13"/>
      <c r="I44" s="11">
        <v>11</v>
      </c>
      <c r="J44" s="13">
        <f t="shared" si="9"/>
        <v>0</v>
      </c>
      <c r="K44" s="52"/>
      <c r="L44" s="16">
        <f t="shared" si="6"/>
        <v>2302</v>
      </c>
      <c r="M44" s="16">
        <f t="shared" si="7"/>
        <v>7557</v>
      </c>
    </row>
    <row r="45" spans="1:13" s="54" customFormat="1" ht="33" customHeight="1" x14ac:dyDescent="0.3">
      <c r="A45" s="11"/>
      <c r="B45" s="11"/>
      <c r="C45" s="12" t="s">
        <v>42</v>
      </c>
      <c r="D45" s="13"/>
      <c r="E45" s="12" t="s">
        <v>43</v>
      </c>
      <c r="F45" s="11">
        <v>7</v>
      </c>
      <c r="G45" s="11" t="str">
        <f t="shared" si="8"/>
        <v/>
      </c>
      <c r="H45" s="13"/>
      <c r="I45" s="11">
        <v>11</v>
      </c>
      <c r="J45" s="13">
        <f t="shared" si="9"/>
        <v>0</v>
      </c>
      <c r="K45" s="52"/>
      <c r="L45" s="16">
        <f t="shared" si="6"/>
        <v>2302</v>
      </c>
      <c r="M45" s="16">
        <f t="shared" si="7"/>
        <v>7557</v>
      </c>
    </row>
    <row r="46" spans="1:13" s="54" customFormat="1" ht="33" customHeight="1" x14ac:dyDescent="0.3">
      <c r="A46" s="11"/>
      <c r="B46" s="11"/>
      <c r="C46" s="12" t="s">
        <v>42</v>
      </c>
      <c r="D46" s="13"/>
      <c r="E46" s="12" t="s">
        <v>43</v>
      </c>
      <c r="F46" s="11">
        <v>7</v>
      </c>
      <c r="G46" s="11" t="str">
        <f t="shared" si="8"/>
        <v/>
      </c>
      <c r="H46" s="13"/>
      <c r="I46" s="11">
        <v>11</v>
      </c>
      <c r="J46" s="13">
        <f t="shared" si="9"/>
        <v>0</v>
      </c>
      <c r="K46" s="52"/>
      <c r="L46" s="16">
        <f t="shared" si="6"/>
        <v>2302</v>
      </c>
      <c r="M46" s="16">
        <f t="shared" si="7"/>
        <v>7557</v>
      </c>
    </row>
    <row r="47" spans="1:13" s="54" customFormat="1" ht="33" customHeight="1" x14ac:dyDescent="0.3">
      <c r="A47" s="11"/>
      <c r="B47" s="11"/>
      <c r="C47" s="12" t="s">
        <v>42</v>
      </c>
      <c r="D47" s="13"/>
      <c r="E47" s="12" t="s">
        <v>43</v>
      </c>
      <c r="F47" s="11">
        <v>7</v>
      </c>
      <c r="G47" s="11" t="str">
        <f t="shared" si="8"/>
        <v/>
      </c>
      <c r="H47" s="13"/>
      <c r="I47" s="11">
        <v>11</v>
      </c>
      <c r="J47" s="13">
        <f t="shared" si="9"/>
        <v>0</v>
      </c>
      <c r="K47" s="52"/>
      <c r="L47" s="16">
        <f t="shared" si="6"/>
        <v>2302</v>
      </c>
      <c r="M47" s="16">
        <f t="shared" si="7"/>
        <v>7557</v>
      </c>
    </row>
    <row r="48" spans="1:13" s="54" customFormat="1" ht="33" customHeight="1" x14ac:dyDescent="0.3">
      <c r="A48" s="11"/>
      <c r="B48" s="11"/>
      <c r="C48" s="12" t="s">
        <v>42</v>
      </c>
      <c r="D48" s="13"/>
      <c r="E48" s="12" t="s">
        <v>43</v>
      </c>
      <c r="F48" s="11">
        <v>7</v>
      </c>
      <c r="G48" s="11" t="str">
        <f t="shared" si="8"/>
        <v/>
      </c>
      <c r="H48" s="13"/>
      <c r="I48" s="11">
        <v>11</v>
      </c>
      <c r="J48" s="13">
        <f t="shared" si="9"/>
        <v>0</v>
      </c>
      <c r="K48" s="52"/>
      <c r="L48" s="16">
        <f t="shared" si="6"/>
        <v>2302</v>
      </c>
      <c r="M48" s="16">
        <f t="shared" si="7"/>
        <v>7557</v>
      </c>
    </row>
    <row r="49" spans="1:13" s="54" customFormat="1" ht="33" customHeight="1" x14ac:dyDescent="0.3">
      <c r="A49" s="11"/>
      <c r="B49" s="11"/>
      <c r="C49" s="12" t="s">
        <v>42</v>
      </c>
      <c r="D49" s="13"/>
      <c r="E49" s="12" t="s">
        <v>43</v>
      </c>
      <c r="F49" s="11">
        <v>7</v>
      </c>
      <c r="G49" s="11" t="str">
        <f t="shared" si="8"/>
        <v/>
      </c>
      <c r="H49" s="13"/>
      <c r="I49" s="11">
        <v>11</v>
      </c>
      <c r="J49" s="13">
        <f t="shared" si="9"/>
        <v>0</v>
      </c>
      <c r="K49" s="52"/>
      <c r="L49" s="16">
        <f t="shared" si="6"/>
        <v>2302</v>
      </c>
      <c r="M49" s="16">
        <f t="shared" si="7"/>
        <v>7557</v>
      </c>
    </row>
    <row r="50" spans="1:13" s="54" customFormat="1" ht="33" customHeight="1" x14ac:dyDescent="0.3">
      <c r="A50" s="11"/>
      <c r="B50" s="11"/>
      <c r="C50" s="12" t="s">
        <v>42</v>
      </c>
      <c r="D50" s="13"/>
      <c r="E50" s="12" t="s">
        <v>43</v>
      </c>
      <c r="F50" s="11">
        <v>7</v>
      </c>
      <c r="G50" s="11" t="str">
        <f t="shared" si="8"/>
        <v/>
      </c>
      <c r="H50" s="13"/>
      <c r="I50" s="11">
        <v>11</v>
      </c>
      <c r="J50" s="13">
        <f t="shared" si="9"/>
        <v>0</v>
      </c>
      <c r="K50" s="52"/>
      <c r="L50" s="16">
        <f t="shared" si="6"/>
        <v>2302</v>
      </c>
      <c r="M50" s="16">
        <f t="shared" si="7"/>
        <v>7557</v>
      </c>
    </row>
    <row r="51" spans="1:13" s="54" customFormat="1" ht="33" customHeight="1" x14ac:dyDescent="0.3">
      <c r="A51" s="11"/>
      <c r="B51" s="11"/>
      <c r="C51" s="12" t="s">
        <v>42</v>
      </c>
      <c r="D51" s="13"/>
      <c r="E51" s="12" t="s">
        <v>43</v>
      </c>
      <c r="F51" s="11">
        <v>7</v>
      </c>
      <c r="G51" s="11" t="str">
        <f t="shared" si="8"/>
        <v/>
      </c>
      <c r="H51" s="13"/>
      <c r="I51" s="11">
        <v>11</v>
      </c>
      <c r="J51" s="13">
        <f t="shared" si="9"/>
        <v>0</v>
      </c>
      <c r="K51" s="52"/>
      <c r="L51" s="16">
        <f t="shared" si="6"/>
        <v>2302</v>
      </c>
      <c r="M51" s="16">
        <f t="shared" si="7"/>
        <v>7557</v>
      </c>
    </row>
  </sheetData>
  <mergeCells count="9">
    <mergeCell ref="A1:M1"/>
    <mergeCell ref="A3:B3"/>
    <mergeCell ref="A4:B4"/>
    <mergeCell ref="E4:F4"/>
    <mergeCell ref="E3:F3"/>
    <mergeCell ref="H3:I3"/>
    <mergeCell ref="H4:I4"/>
    <mergeCell ref="J3:K3"/>
    <mergeCell ref="J4:K4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90E2"/>
  </sheetPr>
  <dimension ref="A1:M24"/>
  <sheetViews>
    <sheetView rightToLeft="1" workbookViewId="0">
      <selection sqref="A1:M15"/>
    </sheetView>
  </sheetViews>
  <sheetFormatPr defaultRowHeight="15.6" x14ac:dyDescent="0.3"/>
  <cols>
    <col min="1" max="1" width="6.44140625" customWidth="1"/>
    <col min="2" max="2" width="14" customWidth="1"/>
    <col min="3" max="3" width="29.6640625" style="38" customWidth="1"/>
    <col min="4" max="4" width="12.88671875" customWidth="1"/>
    <col min="5" max="5" width="9.33203125" customWidth="1"/>
    <col min="6" max="6" width="15.21875" customWidth="1"/>
    <col min="7" max="7" width="17.77734375" customWidth="1"/>
    <col min="8" max="8" width="11.5546875" customWidth="1"/>
    <col min="9" max="9" width="14.6640625" customWidth="1"/>
    <col min="10" max="10" width="16.6640625" customWidth="1"/>
    <col min="11" max="11" width="17.33203125" customWidth="1"/>
    <col min="12" max="12" width="15" customWidth="1"/>
    <col min="13" max="13" width="16.21875" customWidth="1"/>
  </cols>
  <sheetData>
    <row r="1" spans="1:13" ht="52.8" customHeight="1" x14ac:dyDescent="0.45">
      <c r="A1" s="70" t="s">
        <v>49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/>
    </row>
    <row r="2" spans="1:13" ht="6" customHeight="1" thickBot="1" x14ac:dyDescent="0.35">
      <c r="A2" s="21"/>
      <c r="M2" s="22"/>
    </row>
    <row r="3" spans="1:13" s="58" customFormat="1" ht="33" customHeight="1" x14ac:dyDescent="0.3">
      <c r="A3" s="73" t="s">
        <v>21</v>
      </c>
      <c r="B3" s="74"/>
      <c r="C3" s="57" t="s">
        <v>22</v>
      </c>
      <c r="D3" s="73" t="s">
        <v>23</v>
      </c>
      <c r="E3" s="74"/>
      <c r="F3" s="73" t="s">
        <v>25</v>
      </c>
      <c r="G3" s="74"/>
      <c r="H3" s="73" t="s">
        <v>26</v>
      </c>
      <c r="I3" s="74"/>
      <c r="J3" s="73" t="s">
        <v>27</v>
      </c>
      <c r="K3" s="79"/>
      <c r="L3" s="79"/>
      <c r="M3" s="74"/>
    </row>
    <row r="4" spans="1:13" s="20" customFormat="1" ht="19.8" thickBot="1" x14ac:dyDescent="0.35">
      <c r="A4" s="75">
        <f>SUM(D8:D30)</f>
        <v>418</v>
      </c>
      <c r="B4" s="76"/>
      <c r="C4" s="35">
        <f>SUM(H8:H30)</f>
        <v>418</v>
      </c>
      <c r="D4" s="75">
        <f>A4-C4</f>
        <v>0</v>
      </c>
      <c r="E4" s="76"/>
      <c r="F4" s="75">
        <f>SUM(J8:J30)</f>
        <v>7106</v>
      </c>
      <c r="G4" s="76"/>
      <c r="H4" s="77">
        <f>SUM(K8:K30)</f>
        <v>0</v>
      </c>
      <c r="I4" s="78"/>
      <c r="J4" s="75">
        <f>F4-H4</f>
        <v>7106</v>
      </c>
      <c r="K4" s="80"/>
      <c r="L4" s="80"/>
      <c r="M4" s="76"/>
    </row>
    <row r="5" spans="1:13" ht="1.2" customHeight="1" thickBot="1" x14ac:dyDescent="0.35">
      <c r="A5" s="21"/>
      <c r="H5" s="18"/>
      <c r="I5" s="19"/>
      <c r="M5" s="22"/>
    </row>
    <row r="6" spans="1:13" ht="2.4" customHeight="1" x14ac:dyDescent="0.3">
      <c r="A6" s="21"/>
      <c r="M6" s="22"/>
    </row>
    <row r="7" spans="1:13" ht="62.4" customHeight="1" x14ac:dyDescent="0.3">
      <c r="A7" s="23" t="s">
        <v>28</v>
      </c>
      <c r="B7" s="1" t="s">
        <v>29</v>
      </c>
      <c r="C7" s="36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24" t="s">
        <v>40</v>
      </c>
    </row>
    <row r="8" spans="1:13" ht="31.2" customHeight="1" x14ac:dyDescent="0.3">
      <c r="A8" s="25">
        <v>1</v>
      </c>
      <c r="B8" s="5" t="s">
        <v>48</v>
      </c>
      <c r="C8" s="12" t="s">
        <v>50</v>
      </c>
      <c r="D8" s="7">
        <v>250</v>
      </c>
      <c r="E8" s="6" t="s">
        <v>51</v>
      </c>
      <c r="F8" s="5">
        <v>3</v>
      </c>
      <c r="G8" s="5" t="str">
        <f t="shared" ref="G8:G24" si="0">IF(H8&lt;&gt;"", (H8*1000)/F8, "")</f>
        <v/>
      </c>
      <c r="H8" s="7"/>
      <c r="I8" s="5">
        <v>17</v>
      </c>
      <c r="J8" s="7">
        <f t="shared" ref="J8:J24" si="1">IF(H8&lt;&gt;"", H8*I8, 0)</f>
        <v>0</v>
      </c>
      <c r="K8" s="7"/>
      <c r="L8" s="7">
        <f>D8-IF(H8&lt;&gt;"",H8,0)</f>
        <v>250</v>
      </c>
      <c r="M8" s="26">
        <f>J8-IF(K8&lt;&gt;"",K8,0)</f>
        <v>0</v>
      </c>
    </row>
    <row r="9" spans="1:13" ht="31.2" customHeight="1" x14ac:dyDescent="0.3">
      <c r="A9" s="27">
        <v>2</v>
      </c>
      <c r="B9" s="2" t="s">
        <v>48</v>
      </c>
      <c r="C9" s="15" t="s">
        <v>52</v>
      </c>
      <c r="D9" s="4"/>
      <c r="E9" s="3" t="s">
        <v>51</v>
      </c>
      <c r="F9" s="2">
        <v>3</v>
      </c>
      <c r="G9" s="2">
        <f t="shared" si="0"/>
        <v>17333.333333333332</v>
      </c>
      <c r="H9" s="4">
        <v>52</v>
      </c>
      <c r="I9" s="2">
        <v>17</v>
      </c>
      <c r="J9" s="4">
        <f t="shared" si="1"/>
        <v>884</v>
      </c>
      <c r="K9" s="4"/>
      <c r="L9" s="4">
        <f t="shared" ref="L9:L24" si="2">L8+IF(D9&lt;&gt;"",D9,0)-IF(H9&lt;&gt;"",H9,0)</f>
        <v>198</v>
      </c>
      <c r="M9" s="28">
        <f t="shared" ref="M9:M24" si="3">M8+J9-IF(K9&lt;&gt;"",K9,0)</f>
        <v>884</v>
      </c>
    </row>
    <row r="10" spans="1:13" ht="31.2" customHeight="1" x14ac:dyDescent="0.3">
      <c r="A10" s="25">
        <v>3</v>
      </c>
      <c r="B10" s="5" t="s">
        <v>53</v>
      </c>
      <c r="C10" s="12" t="s">
        <v>52</v>
      </c>
      <c r="D10" s="7"/>
      <c r="E10" s="6" t="s">
        <v>51</v>
      </c>
      <c r="F10" s="5">
        <v>3</v>
      </c>
      <c r="G10" s="5">
        <f t="shared" si="0"/>
        <v>31000</v>
      </c>
      <c r="H10" s="7">
        <v>93</v>
      </c>
      <c r="I10" s="5">
        <v>17</v>
      </c>
      <c r="J10" s="7">
        <f t="shared" si="1"/>
        <v>1581</v>
      </c>
      <c r="K10" s="7"/>
      <c r="L10" s="7">
        <f t="shared" si="2"/>
        <v>105</v>
      </c>
      <c r="M10" s="26">
        <f t="shared" si="3"/>
        <v>2465</v>
      </c>
    </row>
    <row r="11" spans="1:13" ht="20.100000000000001" customHeight="1" x14ac:dyDescent="0.3">
      <c r="A11" s="25">
        <v>4</v>
      </c>
      <c r="B11" s="60">
        <v>46210</v>
      </c>
      <c r="C11" s="12" t="s">
        <v>52</v>
      </c>
      <c r="D11" s="4"/>
      <c r="E11" s="3" t="s">
        <v>51</v>
      </c>
      <c r="F11" s="2">
        <v>3</v>
      </c>
      <c r="G11" s="2">
        <f t="shared" si="0"/>
        <v>15666.666666666666</v>
      </c>
      <c r="H11" s="4">
        <v>47</v>
      </c>
      <c r="I11" s="2">
        <v>17</v>
      </c>
      <c r="J11" s="4">
        <f t="shared" si="1"/>
        <v>799</v>
      </c>
      <c r="K11" s="4"/>
      <c r="L11" s="4">
        <f t="shared" si="2"/>
        <v>58</v>
      </c>
      <c r="M11" s="28">
        <f t="shared" si="3"/>
        <v>3264</v>
      </c>
    </row>
    <row r="12" spans="1:13" ht="20.100000000000001" customHeight="1" x14ac:dyDescent="0.3">
      <c r="A12" s="25">
        <v>5</v>
      </c>
      <c r="B12" s="60">
        <v>46210</v>
      </c>
      <c r="C12" s="12" t="s">
        <v>52</v>
      </c>
      <c r="D12" s="7"/>
      <c r="E12" s="6" t="s">
        <v>51</v>
      </c>
      <c r="F12" s="5">
        <v>3</v>
      </c>
      <c r="G12" s="5">
        <f t="shared" si="0"/>
        <v>29333.333333333332</v>
      </c>
      <c r="H12" s="7">
        <v>88</v>
      </c>
      <c r="I12" s="5">
        <v>17</v>
      </c>
      <c r="J12" s="7">
        <f t="shared" si="1"/>
        <v>1496</v>
      </c>
      <c r="K12" s="7"/>
      <c r="L12" s="7">
        <f t="shared" si="2"/>
        <v>-30</v>
      </c>
      <c r="M12" s="26">
        <f t="shared" si="3"/>
        <v>4760</v>
      </c>
    </row>
    <row r="13" spans="1:13" ht="20.100000000000001" customHeight="1" x14ac:dyDescent="0.3">
      <c r="A13" s="25">
        <v>6</v>
      </c>
      <c r="B13" s="60">
        <v>46210</v>
      </c>
      <c r="C13" s="12" t="s">
        <v>52</v>
      </c>
      <c r="D13" s="4"/>
      <c r="E13" s="3" t="s">
        <v>51</v>
      </c>
      <c r="F13" s="2">
        <v>3</v>
      </c>
      <c r="G13" s="2">
        <f t="shared" si="0"/>
        <v>46000</v>
      </c>
      <c r="H13" s="4">
        <v>138</v>
      </c>
      <c r="I13" s="2">
        <v>17</v>
      </c>
      <c r="J13" s="4">
        <f t="shared" si="1"/>
        <v>2346</v>
      </c>
      <c r="K13" s="4"/>
      <c r="L13" s="4">
        <f t="shared" si="2"/>
        <v>-168</v>
      </c>
      <c r="M13" s="28">
        <f t="shared" si="3"/>
        <v>7106</v>
      </c>
    </row>
    <row r="14" spans="1:13" ht="20.100000000000001" customHeight="1" x14ac:dyDescent="0.3">
      <c r="A14" s="25">
        <v>7</v>
      </c>
      <c r="B14" s="61">
        <v>46211</v>
      </c>
      <c r="C14" s="12" t="s">
        <v>50</v>
      </c>
      <c r="D14" s="7">
        <v>150</v>
      </c>
      <c r="E14" s="6" t="s">
        <v>51</v>
      </c>
      <c r="F14" s="5">
        <v>3</v>
      </c>
      <c r="G14" s="5" t="str">
        <f t="shared" si="0"/>
        <v/>
      </c>
      <c r="H14" s="7"/>
      <c r="I14" s="5">
        <v>17</v>
      </c>
      <c r="J14" s="7">
        <f t="shared" si="1"/>
        <v>0</v>
      </c>
      <c r="K14" s="44"/>
      <c r="L14" s="7">
        <f t="shared" si="2"/>
        <v>-18</v>
      </c>
      <c r="M14" s="26">
        <f t="shared" si="3"/>
        <v>7106</v>
      </c>
    </row>
    <row r="15" spans="1:13" ht="20.100000000000001" customHeight="1" x14ac:dyDescent="0.3">
      <c r="A15" s="25">
        <v>8</v>
      </c>
      <c r="B15" s="2" t="s">
        <v>56</v>
      </c>
      <c r="C15" s="15" t="s">
        <v>50</v>
      </c>
      <c r="D15" s="4">
        <v>18</v>
      </c>
      <c r="E15" s="3" t="s">
        <v>51</v>
      </c>
      <c r="F15" s="2">
        <v>3</v>
      </c>
      <c r="G15" s="2" t="str">
        <f t="shared" si="0"/>
        <v/>
      </c>
      <c r="H15" s="4"/>
      <c r="I15" s="2">
        <v>17</v>
      </c>
      <c r="J15" s="4">
        <f t="shared" si="1"/>
        <v>0</v>
      </c>
      <c r="K15" s="4"/>
      <c r="L15" s="4">
        <f t="shared" si="2"/>
        <v>0</v>
      </c>
      <c r="M15" s="28">
        <f t="shared" si="3"/>
        <v>7106</v>
      </c>
    </row>
    <row r="16" spans="1:13" ht="20.100000000000001" customHeight="1" x14ac:dyDescent="0.3">
      <c r="A16" s="25"/>
      <c r="B16" s="5"/>
      <c r="C16" s="12"/>
      <c r="D16" s="7"/>
      <c r="E16" s="6" t="s">
        <v>51</v>
      </c>
      <c r="F16" s="5">
        <v>3</v>
      </c>
      <c r="G16" s="5" t="str">
        <f t="shared" si="0"/>
        <v/>
      </c>
      <c r="H16" s="7"/>
      <c r="I16" s="5">
        <v>17</v>
      </c>
      <c r="J16" s="7">
        <f t="shared" si="1"/>
        <v>0</v>
      </c>
      <c r="K16" s="7"/>
      <c r="L16" s="7">
        <f t="shared" si="2"/>
        <v>0</v>
      </c>
      <c r="M16" s="26">
        <f t="shared" si="3"/>
        <v>7106</v>
      </c>
    </row>
    <row r="17" spans="1:13" ht="20.100000000000001" customHeight="1" x14ac:dyDescent="0.3">
      <c r="A17" s="27"/>
      <c r="B17" s="2"/>
      <c r="C17" s="15"/>
      <c r="D17" s="4"/>
      <c r="E17" s="3" t="s">
        <v>51</v>
      </c>
      <c r="F17" s="2">
        <v>3</v>
      </c>
      <c r="G17" s="2" t="str">
        <f t="shared" si="0"/>
        <v/>
      </c>
      <c r="H17" s="4"/>
      <c r="I17" s="2">
        <v>17</v>
      </c>
      <c r="J17" s="4">
        <f t="shared" si="1"/>
        <v>0</v>
      </c>
      <c r="K17" s="4"/>
      <c r="L17" s="4">
        <f t="shared" si="2"/>
        <v>0</v>
      </c>
      <c r="M17" s="28">
        <f t="shared" si="3"/>
        <v>7106</v>
      </c>
    </row>
    <row r="18" spans="1:13" ht="20.100000000000001" customHeight="1" x14ac:dyDescent="0.3">
      <c r="A18" s="25"/>
      <c r="B18" s="5"/>
      <c r="C18" s="12"/>
      <c r="D18" s="7"/>
      <c r="E18" s="6" t="s">
        <v>51</v>
      </c>
      <c r="F18" s="5">
        <v>3</v>
      </c>
      <c r="G18" s="5" t="str">
        <f t="shared" si="0"/>
        <v/>
      </c>
      <c r="H18" s="7"/>
      <c r="I18" s="5">
        <v>17</v>
      </c>
      <c r="J18" s="7">
        <f t="shared" si="1"/>
        <v>0</v>
      </c>
      <c r="K18" s="7"/>
      <c r="L18" s="7">
        <f t="shared" si="2"/>
        <v>0</v>
      </c>
      <c r="M18" s="26">
        <f t="shared" si="3"/>
        <v>7106</v>
      </c>
    </row>
    <row r="19" spans="1:13" ht="20.100000000000001" customHeight="1" x14ac:dyDescent="0.3">
      <c r="A19" s="27"/>
      <c r="B19" s="2"/>
      <c r="C19" s="15"/>
      <c r="D19" s="4"/>
      <c r="E19" s="3" t="s">
        <v>51</v>
      </c>
      <c r="F19" s="2">
        <v>3</v>
      </c>
      <c r="G19" s="2" t="str">
        <f t="shared" si="0"/>
        <v/>
      </c>
      <c r="H19" s="4"/>
      <c r="I19" s="2">
        <v>17</v>
      </c>
      <c r="J19" s="4">
        <f t="shared" si="1"/>
        <v>0</v>
      </c>
      <c r="K19" s="4"/>
      <c r="L19" s="4">
        <f t="shared" si="2"/>
        <v>0</v>
      </c>
      <c r="M19" s="28">
        <f t="shared" si="3"/>
        <v>7106</v>
      </c>
    </row>
    <row r="20" spans="1:13" ht="20.100000000000001" customHeight="1" x14ac:dyDescent="0.3">
      <c r="A20" s="25"/>
      <c r="B20" s="5"/>
      <c r="C20" s="12"/>
      <c r="D20" s="7"/>
      <c r="E20" s="6" t="s">
        <v>51</v>
      </c>
      <c r="F20" s="5">
        <v>3</v>
      </c>
      <c r="G20" s="5" t="str">
        <f t="shared" si="0"/>
        <v/>
      </c>
      <c r="H20" s="7"/>
      <c r="I20" s="5">
        <v>17</v>
      </c>
      <c r="J20" s="7">
        <f t="shared" si="1"/>
        <v>0</v>
      </c>
      <c r="K20" s="7"/>
      <c r="L20" s="7">
        <f t="shared" si="2"/>
        <v>0</v>
      </c>
      <c r="M20" s="26">
        <f t="shared" si="3"/>
        <v>7106</v>
      </c>
    </row>
    <row r="21" spans="1:13" ht="20.100000000000001" customHeight="1" x14ac:dyDescent="0.3">
      <c r="A21" s="27"/>
      <c r="B21" s="2"/>
      <c r="C21" s="15"/>
      <c r="D21" s="4"/>
      <c r="E21" s="3" t="s">
        <v>51</v>
      </c>
      <c r="F21" s="2">
        <v>3</v>
      </c>
      <c r="G21" s="2" t="str">
        <f t="shared" si="0"/>
        <v/>
      </c>
      <c r="H21" s="4"/>
      <c r="I21" s="2">
        <v>17</v>
      </c>
      <c r="J21" s="4">
        <f t="shared" si="1"/>
        <v>0</v>
      </c>
      <c r="K21" s="4"/>
      <c r="L21" s="4">
        <f t="shared" si="2"/>
        <v>0</v>
      </c>
      <c r="M21" s="28">
        <f t="shared" si="3"/>
        <v>7106</v>
      </c>
    </row>
    <row r="22" spans="1:13" ht="20.100000000000001" customHeight="1" x14ac:dyDescent="0.3">
      <c r="A22" s="25"/>
      <c r="B22" s="5"/>
      <c r="C22" s="12"/>
      <c r="D22" s="7"/>
      <c r="E22" s="6" t="s">
        <v>51</v>
      </c>
      <c r="F22" s="5">
        <v>3</v>
      </c>
      <c r="G22" s="5" t="str">
        <f t="shared" si="0"/>
        <v/>
      </c>
      <c r="H22" s="7"/>
      <c r="I22" s="5">
        <v>17</v>
      </c>
      <c r="J22" s="7">
        <f t="shared" si="1"/>
        <v>0</v>
      </c>
      <c r="K22" s="7"/>
      <c r="L22" s="7">
        <f t="shared" si="2"/>
        <v>0</v>
      </c>
      <c r="M22" s="26">
        <f t="shared" si="3"/>
        <v>7106</v>
      </c>
    </row>
    <row r="23" spans="1:13" ht="20.100000000000001" customHeight="1" x14ac:dyDescent="0.3">
      <c r="A23" s="27"/>
      <c r="B23" s="2"/>
      <c r="C23" s="15"/>
      <c r="D23" s="4"/>
      <c r="E23" s="3" t="s">
        <v>51</v>
      </c>
      <c r="F23" s="2">
        <v>3</v>
      </c>
      <c r="G23" s="2" t="str">
        <f t="shared" si="0"/>
        <v/>
      </c>
      <c r="H23" s="4"/>
      <c r="I23" s="2">
        <v>17</v>
      </c>
      <c r="J23" s="4">
        <f t="shared" si="1"/>
        <v>0</v>
      </c>
      <c r="K23" s="4"/>
      <c r="L23" s="4">
        <f t="shared" si="2"/>
        <v>0</v>
      </c>
      <c r="M23" s="28">
        <f t="shared" si="3"/>
        <v>7106</v>
      </c>
    </row>
    <row r="24" spans="1:13" ht="20.100000000000001" customHeight="1" thickBot="1" x14ac:dyDescent="0.35">
      <c r="A24" s="29"/>
      <c r="B24" s="30"/>
      <c r="C24" s="37"/>
      <c r="D24" s="32"/>
      <c r="E24" s="31" t="s">
        <v>51</v>
      </c>
      <c r="F24" s="30">
        <v>3</v>
      </c>
      <c r="G24" s="30" t="str">
        <f t="shared" si="0"/>
        <v/>
      </c>
      <c r="H24" s="32"/>
      <c r="I24" s="30">
        <v>17</v>
      </c>
      <c r="J24" s="32">
        <f t="shared" si="1"/>
        <v>0</v>
      </c>
      <c r="K24" s="32"/>
      <c r="L24" s="32">
        <f t="shared" si="2"/>
        <v>0</v>
      </c>
      <c r="M24" s="33">
        <f t="shared" si="3"/>
        <v>7106</v>
      </c>
    </row>
  </sheetData>
  <mergeCells count="11">
    <mergeCell ref="A1:M1"/>
    <mergeCell ref="A3:B3"/>
    <mergeCell ref="A4:B4"/>
    <mergeCell ref="D3:E3"/>
    <mergeCell ref="D4:E4"/>
    <mergeCell ref="F3:G3"/>
    <mergeCell ref="F4:G4"/>
    <mergeCell ref="H3:I3"/>
    <mergeCell ref="H4:I4"/>
    <mergeCell ref="J3:M3"/>
    <mergeCell ref="J4:M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 العام</vt:lpstr>
      <vt:lpstr>العميل 1 (مشبك)</vt:lpstr>
      <vt:lpstr>العميل 2 (فاصل)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2026-06-30T08:23:44Z</dcterms:created>
  <dcterms:modified xsi:type="dcterms:W3CDTF">2026-07-15T10:54:00Z</dcterms:modified>
</cp:coreProperties>
</file>